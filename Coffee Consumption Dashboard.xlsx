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41643593-CCF6-4B61-A2B7-EACA37F1B4B6}" xr6:coauthVersionLast="47" xr6:coauthVersionMax="47" xr10:uidLastSave="{00000000-0000-0000-0000-000000000000}"/>
  <bookViews>
    <workbookView xWindow="-120" yWindow="-120" windowWidth="20730" windowHeight="11760" activeTab="1" xr2:uid="{00000000-000D-0000-FFFF-FFFF00000000}"/>
  </bookViews>
  <sheets>
    <sheet name="Pivot_tables.xlsx" sheetId="2" r:id="rId1"/>
    <sheet name="Dashboard" sheetId="3" r:id="rId2"/>
    <sheet name="Coffee Consumption Dashboard.xl" sheetId="1" r:id="rId3"/>
  </sheets>
  <definedNames>
    <definedName name="_xlchart.v5.0" hidden="1">Pivot_tables.xlsx!$T$4</definedName>
    <definedName name="_xlchart.v5.1" hidden="1">Pivot_tables.xlsx!$T$5:$T$15</definedName>
    <definedName name="_xlchart.v5.2" hidden="1">Pivot_tables.xlsx!$U$5:$U$15</definedName>
    <definedName name="_xlchart.v5.3" hidden="1">Pivot_tables.xlsx!$T$4</definedName>
    <definedName name="_xlchart.v5.4" hidden="1">Pivot_tables.xlsx!$T$5:$T$15</definedName>
    <definedName name="_xlchart.v5.5" hidden="1">Pivot_tables.xlsx!$U$4</definedName>
    <definedName name="_xlchart.v5.6" hidden="1">Pivot_tables.xlsx!$U$5:$U$15</definedName>
    <definedName name="Slicer_age_group">#N/A</definedName>
    <definedName name="Slicer_city_tier">#N/A</definedName>
    <definedName name="Slicer_consumption_frequency">#N/A</definedName>
    <definedName name="Slicer_gender">#N/A</definedName>
    <definedName name="Slicer_preferred_bran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6" i="2" l="1"/>
  <c r="U7" i="2"/>
  <c r="U8" i="2"/>
  <c r="U9" i="2"/>
  <c r="U10" i="2"/>
  <c r="U11" i="2"/>
  <c r="U12" i="2"/>
  <c r="U13" i="2"/>
  <c r="U14" i="2"/>
  <c r="U15" i="2"/>
  <c r="U5" i="2"/>
  <c r="T6" i="2"/>
  <c r="T7" i="2"/>
  <c r="T8" i="2"/>
  <c r="T9" i="2"/>
  <c r="T10" i="2"/>
  <c r="T11" i="2"/>
  <c r="T12" i="2"/>
  <c r="T13" i="2"/>
  <c r="T14" i="2"/>
  <c r="T15" i="2"/>
  <c r="T5" i="2"/>
  <c r="E47" i="2"/>
  <c r="E48" i="2"/>
  <c r="E49" i="2"/>
  <c r="E50" i="2"/>
  <c r="E51" i="2"/>
  <c r="E52" i="2"/>
  <c r="E53" i="2"/>
  <c r="E46" i="2"/>
  <c r="D49" i="2"/>
  <c r="D50" i="2"/>
  <c r="D51" i="2"/>
  <c r="D52" i="2"/>
  <c r="D53" i="2"/>
  <c r="D48" i="2"/>
  <c r="D47" i="2"/>
  <c r="D46" i="2"/>
  <c r="E143" i="2"/>
  <c r="B143" i="2"/>
  <c r="C143" i="2"/>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F46" i="2" l="1"/>
  <c r="K46" i="2" s="1"/>
  <c r="F53" i="2"/>
  <c r="H53" i="2" s="1"/>
  <c r="F52" i="2"/>
  <c r="I52" i="2" s="1"/>
  <c r="F51" i="2"/>
  <c r="K51" i="2" s="1"/>
  <c r="F50" i="2"/>
  <c r="H50" i="2" s="1"/>
  <c r="F49" i="2"/>
  <c r="K49" i="2" s="1"/>
  <c r="F48" i="2"/>
  <c r="J48" i="2" s="1"/>
  <c r="F47" i="2"/>
  <c r="K47" i="2" s="1"/>
  <c r="G46" i="2" l="1"/>
  <c r="J51" i="2"/>
  <c r="H51" i="2"/>
  <c r="I51" i="2"/>
  <c r="H46" i="2"/>
  <c r="I46" i="2"/>
  <c r="J46" i="2"/>
  <c r="I48" i="2"/>
  <c r="G51" i="2"/>
  <c r="H48" i="2"/>
  <c r="J49" i="2"/>
  <c r="H49" i="2"/>
  <c r="I50" i="2"/>
  <c r="I49" i="2"/>
  <c r="G50" i="2"/>
  <c r="K50" i="2"/>
  <c r="J47" i="2"/>
  <c r="J50" i="2"/>
  <c r="G48" i="2"/>
  <c r="G53" i="2"/>
  <c r="K48" i="2"/>
  <c r="H52" i="2"/>
  <c r="K53" i="2"/>
  <c r="J53" i="2"/>
  <c r="I47" i="2"/>
  <c r="G52" i="2"/>
  <c r="I53" i="2"/>
  <c r="H47" i="2"/>
  <c r="K52" i="2"/>
  <c r="G47" i="2"/>
  <c r="G49" i="2"/>
  <c r="J52" i="2"/>
</calcChain>
</file>

<file path=xl/sharedStrings.xml><?xml version="1.0" encoding="utf-8"?>
<sst xmlns="http://schemas.openxmlformats.org/spreadsheetml/2006/main" count="15121" uniqueCount="138">
  <si>
    <t>record_id</t>
  </si>
  <si>
    <t>customer_id</t>
  </si>
  <si>
    <t>age_group</t>
  </si>
  <si>
    <t>gender</t>
  </si>
  <si>
    <t>city</t>
  </si>
  <si>
    <t>state</t>
  </si>
  <si>
    <t>occupation</t>
  </si>
  <si>
    <t>monthly_income_range</t>
  </si>
  <si>
    <t>preferred_coffee_type</t>
  </si>
  <si>
    <t>coffee_form</t>
  </si>
  <si>
    <t>cups_per_day</t>
  </si>
  <si>
    <t>consumption_frequency</t>
  </si>
  <si>
    <t>primary_consumption_location</t>
  </si>
  <si>
    <t>preferred_brand</t>
  </si>
  <si>
    <t>average_spend_per_month_inr</t>
  </si>
  <si>
    <t>purchase_channel</t>
  </si>
  <si>
    <t>time_of_day_preference</t>
  </si>
  <si>
    <t>health_preference</t>
  </si>
  <si>
    <t>city_tier</t>
  </si>
  <si>
    <t>35-44</t>
  </si>
  <si>
    <t>Mysuru</t>
  </si>
  <si>
    <t>Karnataka</t>
  </si>
  <si>
    <t>Teacher</t>
  </si>
  <si>
    <t>30000-60000</t>
  </si>
  <si>
    <t>Filter Coffee</t>
  </si>
  <si>
    <t>filter</t>
  </si>
  <si>
    <t>occasional</t>
  </si>
  <si>
    <t>home</t>
  </si>
  <si>
    <t>Bru</t>
  </si>
  <si>
    <t>online</t>
  </si>
  <si>
    <t>night</t>
  </si>
  <si>
    <t>sugar-free</t>
  </si>
  <si>
    <t>tier3</t>
  </si>
  <si>
    <t>18-24</t>
  </si>
  <si>
    <t>Hyderabad</t>
  </si>
  <si>
    <t>Telangana</t>
  </si>
  <si>
    <t>Freelancer</t>
  </si>
  <si>
    <t>100000+</t>
  </si>
  <si>
    <t>Instant Coffee</t>
  </si>
  <si>
    <t>espresso</t>
  </si>
  <si>
    <t>office</t>
  </si>
  <si>
    <t>local store</t>
  </si>
  <si>
    <t>evening</t>
  </si>
  <si>
    <t>metro</t>
  </si>
  <si>
    <t>Delhi</t>
  </si>
  <si>
    <t>Sales Executive</t>
  </si>
  <si>
    <t>15000-30000</t>
  </si>
  <si>
    <t>Cold Brew</t>
  </si>
  <si>
    <t>cold brew</t>
  </si>
  <si>
    <t>weekly</t>
  </si>
  <si>
    <t>vegan</t>
  </si>
  <si>
    <t>25-34</t>
  </si>
  <si>
    <t>Female</t>
  </si>
  <si>
    <t>Jaipur</t>
  </si>
  <si>
    <t>Rajasthan</t>
  </si>
  <si>
    <t>IT Professional</t>
  </si>
  <si>
    <t>Cappuccino</t>
  </si>
  <si>
    <t>instant</t>
  </si>
  <si>
    <t>low caffeine</t>
  </si>
  <si>
    <t>tier2</t>
  </si>
  <si>
    <t>45-54</t>
  </si>
  <si>
    <t>Nagpur</t>
  </si>
  <si>
    <t>Maharashtra</t>
  </si>
  <si>
    <t>Bank Employee</t>
  </si>
  <si>
    <t>daily</t>
  </si>
  <si>
    <t>Blue Tokai</t>
  </si>
  <si>
    <t>Male</t>
  </si>
  <si>
    <t>Latte</t>
  </si>
  <si>
    <t>afternoon</t>
  </si>
  <si>
    <t>regular</t>
  </si>
  <si>
    <t>Business Owner</t>
  </si>
  <si>
    <t>&lt;15000</t>
  </si>
  <si>
    <t>Continental Coffee</t>
  </si>
  <si>
    <t>60000-100000</t>
  </si>
  <si>
    <t>supermarket</t>
  </si>
  <si>
    <t>morning</t>
  </si>
  <si>
    <t>Kolkata</t>
  </si>
  <si>
    <t>West Bengal</t>
  </si>
  <si>
    <t>Engineer</t>
  </si>
  <si>
    <t>Chennai</t>
  </si>
  <si>
    <t>Tamil Nadu</t>
  </si>
  <si>
    <t>Government Employee</t>
  </si>
  <si>
    <t>Sleepy Owl</t>
  </si>
  <si>
    <t>Mocha</t>
  </si>
  <si>
    <t>Vizag</t>
  </si>
  <si>
    <t>Andhra Pradesh</t>
  </si>
  <si>
    <t>ready-to-drink</t>
  </si>
  <si>
    <t>Kochi</t>
  </si>
  <si>
    <t>Kerala</t>
  </si>
  <si>
    <t>Ahmedabad</t>
  </si>
  <si>
    <t>Gujarat</t>
  </si>
  <si>
    <t>Americano</t>
  </si>
  <si>
    <t>Student</t>
  </si>
  <si>
    <t>Mumbai</t>
  </si>
  <si>
    <t>Espresso</t>
  </si>
  <si>
    <t>Bengaluru</t>
  </si>
  <si>
    <t>55+</t>
  </si>
  <si>
    <t>Pune</t>
  </si>
  <si>
    <t>Healthcare Worker</t>
  </si>
  <si>
    <t>Indore</t>
  </si>
  <si>
    <t>Madhya Pradesh</t>
  </si>
  <si>
    <t>Coimbatore</t>
  </si>
  <si>
    <t>Tata Coffee</t>
  </si>
  <si>
    <t>NesCafa</t>
  </si>
  <si>
    <t>Cafa</t>
  </si>
  <si>
    <t>State Wise Coffee Expenses</t>
  </si>
  <si>
    <t>Row Labels</t>
  </si>
  <si>
    <t>Grand Total</t>
  </si>
  <si>
    <t>Sum of average_spend_per_month_inr</t>
  </si>
  <si>
    <t>Sates</t>
  </si>
  <si>
    <t>Sum of Monthly Coffee Expenses INR</t>
  </si>
  <si>
    <t>Average of cups_per_day</t>
  </si>
  <si>
    <t>Profession</t>
  </si>
  <si>
    <t>Coffee intake vs spending by Proffesion (Daily)</t>
  </si>
  <si>
    <t>Favourite Coffee Type</t>
  </si>
  <si>
    <t>Sum of cups_per_day</t>
  </si>
  <si>
    <t xml:space="preserve">Popular Coffee Brand </t>
  </si>
  <si>
    <t>cafa visits perweek</t>
  </si>
  <si>
    <t>Count of customer_id</t>
  </si>
  <si>
    <t>Prefered Time</t>
  </si>
  <si>
    <t>Consumption Location</t>
  </si>
  <si>
    <t>Metro vs Teir city coffee Trends</t>
  </si>
  <si>
    <t>Column Labels</t>
  </si>
  <si>
    <t xml:space="preserve">Cups per Day </t>
  </si>
  <si>
    <t>Total Monthly Expenses</t>
  </si>
  <si>
    <t xml:space="preserve">Top Coffee Choice </t>
  </si>
  <si>
    <t>Values for Display (KPI's)</t>
  </si>
  <si>
    <t>Health-Conscious coffee trend  (Agewise)</t>
  </si>
  <si>
    <t>Coffee</t>
  </si>
  <si>
    <t>Count</t>
  </si>
  <si>
    <t>Rank</t>
  </si>
  <si>
    <t>Top 1</t>
  </si>
  <si>
    <t>Top 2</t>
  </si>
  <si>
    <t>Top 3</t>
  </si>
  <si>
    <t xml:space="preserve">Top 4 </t>
  </si>
  <si>
    <t>Others</t>
  </si>
  <si>
    <t>States</t>
  </si>
  <si>
    <t>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</si>
</sst>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3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rgb="FFFFC0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10" xfId="0" applyBorder="1"/>
    <xf numFmtId="0" fontId="18" fillId="0" borderId="0" xfId="0" applyFont="1" applyAlignment="1">
      <alignment vertical="center"/>
    </xf>
    <xf numFmtId="0" fontId="19" fillId="34" borderId="0" xfId="0" applyFont="1" applyFill="1" applyAlignment="1">
      <alignment horizontal="center"/>
    </xf>
    <xf numFmtId="0" fontId="18" fillId="33" borderId="0" xfId="0" applyFont="1" applyFill="1" applyAlignment="1">
      <alignment horizontal="center" vertical="center" wrapText="1"/>
    </xf>
    <xf numFmtId="0" fontId="18" fillId="33" borderId="11" xfId="0" applyFont="1" applyFill="1" applyBorder="1" applyAlignment="1">
      <alignment horizontal="center" vertical="center" wrapText="1"/>
    </xf>
    <xf numFmtId="0" fontId="18"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 formatCode="0"/>
    </dxf>
    <dxf>
      <numFmt numFmtId="0" formatCode="General"/>
    </dxf>
    <dxf>
      <border diagonalUp="0" diagonalDown="0">
        <left style="thin">
          <color indexed="64"/>
        </left>
        <right style="thin">
          <color indexed="64"/>
        </right>
        <top style="thin">
          <color indexed="64"/>
        </top>
        <bottom style="thin">
          <color indexed="64"/>
        </bottom>
        <vertical/>
        <horizontal/>
      </border>
    </dxf>
    <dxf>
      <numFmt numFmtId="1" formatCode="0"/>
    </dxf>
    <dxf>
      <numFmt numFmtId="1" formatCode="0"/>
    </dxf>
    <dxf>
      <fill>
        <patternFill>
          <bgColor theme="5" tint="0.39994506668294322"/>
        </patternFill>
      </fill>
    </dxf>
    <dxf>
      <font>
        <b/>
        <i val="0"/>
        <sz val="11"/>
        <name val="Arial"/>
        <family val="2"/>
        <scheme val="none"/>
      </font>
      <border diagonalUp="0" diagonalDown="0">
        <left/>
        <right/>
        <top/>
        <bottom/>
        <vertical/>
        <horizontal/>
      </border>
    </dxf>
    <dxf>
      <fill>
        <patternFill>
          <bgColor rgb="FF9A6B4A"/>
        </patternFill>
      </fill>
    </dxf>
    <dxf>
      <font>
        <b/>
        <i val="0"/>
        <sz val="14"/>
        <color rgb="FF4A2C2A"/>
        <name val="Segoe UI"/>
        <family val="2"/>
        <scheme val="none"/>
      </font>
      <fill>
        <patternFill>
          <bgColor theme="5" tint="0.39994506668294322"/>
        </patternFill>
      </fill>
    </dxf>
    <dxf>
      <font>
        <b/>
        <i val="0"/>
        <sz val="12"/>
        <color theme="0"/>
        <name val="Segoe UI"/>
        <family val="2"/>
        <scheme val="none"/>
      </font>
    </dxf>
    <dxf>
      <font>
        <b val="0"/>
        <i val="0"/>
        <sz val="12"/>
        <color rgb="FF4A2C2A"/>
        <name val="Segoe UI Variable Text Semibold"/>
        <scheme val="none"/>
      </font>
      <fill>
        <patternFill>
          <bgColor theme="5" tint="0.39994506668294322"/>
        </patternFill>
      </fill>
    </dxf>
    <dxf>
      <font>
        <b/>
        <i val="0"/>
        <sz val="12"/>
        <color theme="0"/>
        <name val="Segoe UI"/>
        <family val="2"/>
        <scheme val="none"/>
      </font>
      <fill>
        <patternFill>
          <bgColor rgb="FFB38261"/>
        </patternFill>
      </fill>
    </dxf>
    <dxf>
      <font>
        <b val="0"/>
        <i val="0"/>
        <sz val="12"/>
        <color rgb="FF4A2C2A"/>
        <name val="Segoe UI Variable Text Semibold"/>
        <scheme val="none"/>
      </font>
      <fill>
        <patternFill>
          <bgColor theme="5" tint="0.39994506668294322"/>
        </patternFill>
      </fill>
    </dxf>
    <dxf>
      <font>
        <b/>
        <i val="0"/>
        <sz val="12"/>
        <color theme="0"/>
        <name val="Segoe UI"/>
        <family val="2"/>
        <scheme val="none"/>
      </font>
      <fill>
        <patternFill>
          <bgColor rgb="FFB38261"/>
        </patternFill>
      </fill>
    </dxf>
    <dxf>
      <font>
        <b val="0"/>
        <i val="0"/>
        <sz val="12"/>
        <color rgb="FF4A2C2A"/>
        <name val="Segoe UI Variable Text Semibold"/>
        <scheme val="none"/>
      </font>
      <fill>
        <patternFill>
          <bgColor theme="5" tint="0.39994506668294322"/>
        </patternFill>
      </fill>
    </dxf>
    <dxf>
      <font>
        <b/>
        <i val="0"/>
        <sz val="12"/>
        <color theme="0"/>
        <name val="Segoe UI"/>
        <family val="2"/>
        <scheme val="none"/>
      </font>
    </dxf>
    <dxf>
      <fill>
        <patternFill>
          <bgColor theme="5" tint="-0.499984740745262"/>
        </patternFill>
      </fill>
    </dxf>
  </dxfs>
  <tableStyles count="8" defaultTableStyle="TableStyleMedium2" defaultPivotStyle="PivotStyleLight16">
    <tableStyle name="Slicer Style 1" pivot="0" table="0" count="1" xr9:uid="{D50CCE8C-C6A3-471A-8F55-F1A43B54CDF8}">
      <tableStyleElement type="wholeTable" dxfId="16"/>
    </tableStyle>
    <tableStyle name="Slicer Style 2" pivot="0" table="0" count="4" xr9:uid="{6C001F25-2D34-4EDF-B411-73AE05A34A0B}">
      <tableStyleElement type="wholeTable" dxfId="15"/>
      <tableStyleElement type="headerRow" dxfId="14"/>
    </tableStyle>
    <tableStyle name="Slicer Style 2 2" pivot="0" table="0" count="4" xr9:uid="{3DB1D1A9-C35E-4439-B5F3-A55DDD16B35C}">
      <tableStyleElement type="wholeTable" dxfId="13"/>
      <tableStyleElement type="headerRow" dxfId="12"/>
    </tableStyle>
    <tableStyle name="Slicer Style 2 2 2" pivot="0" table="0" count="4" xr9:uid="{484D67FA-3DBB-46D2-88BD-33C9F034B268}">
      <tableStyleElement type="wholeTable" dxfId="11"/>
      <tableStyleElement type="headerRow" dxfId="10"/>
    </tableStyle>
    <tableStyle name="Slicer Style 2 3" pivot="0" table="0" count="5" xr9:uid="{0CBB38D6-F856-4EA9-B316-B166B1A135A9}">
      <tableStyleElement type="wholeTable" dxfId="9"/>
      <tableStyleElement type="headerRow" dxfId="8"/>
    </tableStyle>
    <tableStyle name="Slicer Style 3" pivot="0" table="0" count="1" xr9:uid="{5E0D15B5-D6D2-4730-B870-9B0D6217728E}">
      <tableStyleElement type="wholeTable" dxfId="7"/>
    </tableStyle>
    <tableStyle name="Slicer Style 4" pivot="0" table="0" count="1" xr9:uid="{9315B55D-3ED8-483C-83D4-F813AA4FD3B9}">
      <tableStyleElement type="wholeTable" dxfId="6"/>
    </tableStyle>
    <tableStyle name="Slicer Style 5" pivot="0" table="0" count="2" xr9:uid="{98317CF1-1288-42CB-BF3A-82978628101D}">
      <tableStyleElement type="headerRow" dxfId="5"/>
    </tableStyle>
  </tableStyles>
  <colors>
    <mruColors>
      <color rgb="FFC55A11"/>
      <color rgb="FFF8CBAD"/>
      <color rgb="FFB86950"/>
      <color rgb="FF843C0C"/>
      <color rgb="FFE66914"/>
      <color rgb="FF7C563C"/>
      <color rgb="FFB38261"/>
      <color rgb="FFB88B6C"/>
      <color rgb="FF4A2C2A"/>
      <color rgb="FF9A6B4A"/>
    </mruColors>
  </colors>
  <extLst>
    <ext xmlns:x14="http://schemas.microsoft.com/office/spreadsheetml/2009/9/main" uri="{46F421CA-312F-682f-3DD2-61675219B42D}">
      <x14:dxfs count="10">
        <dxf>
          <fill>
            <patternFill>
              <bgColor theme="5" tint="-0.24994659260841701"/>
            </patternFill>
          </fill>
        </dxf>
        <dxf>
          <font>
            <color theme="0"/>
          </font>
          <fill>
            <patternFill>
              <bgColor theme="5"/>
            </patternFill>
          </fill>
        </dxf>
        <dxf>
          <fill>
            <patternFill>
              <bgColor theme="5"/>
            </patternFill>
          </fill>
        </dxf>
        <dxf>
          <font>
            <color theme="0"/>
          </font>
          <fill>
            <patternFill>
              <bgColor theme="5" tint="0.39994506668294322"/>
            </patternFill>
          </fill>
        </dxf>
        <dxf>
          <font>
            <b/>
            <i val="0"/>
            <sz val="14"/>
          </font>
          <fill>
            <patternFill>
              <bgColor rgb="FF7C563C"/>
            </patternFill>
          </fill>
        </dxf>
        <dxf>
          <font>
            <b/>
            <i val="0"/>
            <sz val="12"/>
            <color theme="0"/>
          </font>
          <fill>
            <patternFill>
              <bgColor rgb="FFB38261"/>
            </patternFill>
          </fill>
        </dxf>
        <dxf>
          <font>
            <b/>
            <i val="0"/>
            <sz val="14"/>
          </font>
          <fill>
            <patternFill>
              <bgColor rgb="FFB88B6C"/>
            </patternFill>
          </fill>
        </dxf>
        <dxf>
          <font>
            <b/>
            <i val="0"/>
            <sz val="12"/>
            <color theme="0"/>
          </font>
          <fill>
            <patternFill>
              <bgColor rgb="FFB38261"/>
            </patternFill>
          </fill>
        </dxf>
        <dxf>
          <fill>
            <patternFill>
              <bgColor theme="5" tint="-0.24994659260841701"/>
            </patternFill>
          </fill>
        </dxf>
        <dxf>
          <font>
            <color theme="5" tint="-0.24994659260841701"/>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9"/>
            <x14:slicerStyleElement type="selectedItemWithData" dxfId="8"/>
          </x14:slicerStyleElements>
        </x14:slicerStyle>
        <x14:slicerStyle name="Slicer Style 2 2">
          <x14:slicerStyleElements>
            <x14:slicerStyleElement type="unselectedItemWithData" dxfId="7"/>
            <x14:slicerStyleElement type="selectedItemWithData" dxfId="6"/>
          </x14:slicerStyleElements>
        </x14:slicerStyle>
        <x14:slicerStyle name="Slicer Style 2 2 2">
          <x14:slicerStyleElements>
            <x14:slicerStyleElement type="unselectedItemWithData" dxfId="5"/>
            <x14:slicerStyleElement type="selectedItemWithData" dxfId="4"/>
          </x14:slicerStyleElements>
        </x14:slicerStyle>
        <x14:slicerStyle name="Slicer Style 2 3">
          <x14:slicerStyleElements>
            <x14:slicerStyleElement type="unselectedItemWithData" dxfId="3"/>
            <x14:slicerStyleElement type="selectedItemWithData" dxfId="2"/>
            <x14:slicerStyleElement type="hoveredSelectedItemWithData" dxfId="1"/>
          </x14:slicerStyleElements>
        </x14:slicerStyle>
        <x14:slicerStyle name="Slicer Style 3"/>
        <x14:slicerStyle name="Slicer Style 4"/>
        <x14:slicerStyle name="Slicer Style 5">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Dashboard.xlsx]Pivot_tables.xlsx!coffee consume vs spending</c:name>
    <c:fmtId val="0"/>
  </c:pivotSource>
  <c:chart>
    <c:title>
      <c:tx>
        <c:rich>
          <a:bodyPr rot="0" spcFirstLastPara="1" vertOverflow="ellipsis" vert="horz" wrap="square" anchor="ctr" anchorCtr="1"/>
          <a:lstStyle/>
          <a:p>
            <a:pPr rtl="0">
              <a:defRPr lang="en-US" sz="1400" b="1" i="0" u="none" strike="noStrike" kern="1200" spc="0" baseline="0">
                <a:solidFill>
                  <a:schemeClr val="bg2">
                    <a:lumMod val="50000"/>
                  </a:schemeClr>
                </a:solidFill>
                <a:effectLst/>
                <a:latin typeface="+mn-lt"/>
                <a:ea typeface="+mn-ea"/>
                <a:cs typeface="+mn-cs"/>
              </a:defRPr>
            </a:pPr>
            <a:r>
              <a:rPr lang="en-US" sz="1400" b="1" i="0" baseline="0">
                <a:solidFill>
                  <a:schemeClr val="bg2">
                    <a:lumMod val="25000"/>
                  </a:schemeClr>
                </a:solidFill>
                <a:effectLst/>
              </a:rPr>
              <a:t>Coffee intake vs spending by Proffesion (Daily)</a:t>
            </a:r>
          </a:p>
        </c:rich>
      </c:tx>
      <c:overlay val="0"/>
      <c:spPr>
        <a:noFill/>
        <a:ln>
          <a:noFill/>
        </a:ln>
        <a:effectLst/>
      </c:spPr>
      <c:txPr>
        <a:bodyPr rot="0" spcFirstLastPara="1" vertOverflow="ellipsis" vert="horz" wrap="square" anchor="ctr" anchorCtr="1"/>
        <a:lstStyle/>
        <a:p>
          <a:pPr rtl="0">
            <a:defRPr lang="en-US" sz="1400" b="1" i="0" u="none" strike="noStrike" kern="1200" spc="0" baseline="0">
              <a:solidFill>
                <a:schemeClr val="bg2">
                  <a:lumMod val="50000"/>
                </a:schemeClr>
              </a:solidFill>
              <a:effectLst/>
              <a:latin typeface="+mn-lt"/>
              <a:ea typeface="+mn-ea"/>
              <a:cs typeface="+mn-cs"/>
            </a:defRPr>
          </a:pPr>
          <a:endParaRPr lang="en-US"/>
        </a:p>
      </c:txPr>
    </c:title>
    <c:autoTitleDeleted val="0"/>
    <c:pivotFmts>
      <c:pivotFmt>
        <c:idx val="0"/>
        <c:spPr>
          <a:solidFill>
            <a:srgbClr val="F4A2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Pivot_tables.xlsx!$B$26</c:f>
              <c:strCache>
                <c:ptCount val="1"/>
                <c:pt idx="0">
                  <c:v>Average of cups_per_day</c:v>
                </c:pt>
              </c:strCache>
            </c:strRef>
          </c:tx>
          <c:spPr>
            <a:solidFill>
              <a:srgbClr val="F4A261"/>
            </a:solidFill>
            <a:ln>
              <a:noFill/>
            </a:ln>
            <a:effectLst/>
          </c:spPr>
          <c:invertIfNegative val="0"/>
          <c:cat>
            <c:strRef>
              <c:f>Pivot_tables.xlsx!$A$27:$A$37</c:f>
              <c:strCache>
                <c:ptCount val="10"/>
                <c:pt idx="0">
                  <c:v>Bank Employee</c:v>
                </c:pt>
                <c:pt idx="1">
                  <c:v>Business Owner</c:v>
                </c:pt>
                <c:pt idx="2">
                  <c:v>Engineer</c:v>
                </c:pt>
                <c:pt idx="3">
                  <c:v>Freelancer</c:v>
                </c:pt>
                <c:pt idx="4">
                  <c:v>Government Employee</c:v>
                </c:pt>
                <c:pt idx="5">
                  <c:v>Healthcare Worker</c:v>
                </c:pt>
                <c:pt idx="6">
                  <c:v>IT Professional</c:v>
                </c:pt>
                <c:pt idx="7">
                  <c:v>Sales Executive</c:v>
                </c:pt>
                <c:pt idx="8">
                  <c:v>Student</c:v>
                </c:pt>
                <c:pt idx="9">
                  <c:v>Teacher</c:v>
                </c:pt>
              </c:strCache>
            </c:strRef>
          </c:cat>
          <c:val>
            <c:numRef>
              <c:f>Pivot_tables.xlsx!$B$27:$B$37</c:f>
              <c:numCache>
                <c:formatCode>0.00</c:formatCode>
                <c:ptCount val="10"/>
                <c:pt idx="0">
                  <c:v>1.5775773195876293</c:v>
                </c:pt>
                <c:pt idx="1">
                  <c:v>1.5916666666666668</c:v>
                </c:pt>
                <c:pt idx="2">
                  <c:v>1.5551470588235294</c:v>
                </c:pt>
                <c:pt idx="3">
                  <c:v>1.5914141414141409</c:v>
                </c:pt>
                <c:pt idx="4">
                  <c:v>1.4545652173913046</c:v>
                </c:pt>
                <c:pt idx="5">
                  <c:v>1.5120879120879123</c:v>
                </c:pt>
                <c:pt idx="6">
                  <c:v>1.55530303030303</c:v>
                </c:pt>
                <c:pt idx="7">
                  <c:v>1.58515625</c:v>
                </c:pt>
                <c:pt idx="8">
                  <c:v>1.5017500000000004</c:v>
                </c:pt>
                <c:pt idx="9">
                  <c:v>1.3870370370370368</c:v>
                </c:pt>
              </c:numCache>
            </c:numRef>
          </c:val>
          <c:extLst>
            <c:ext xmlns:c16="http://schemas.microsoft.com/office/drawing/2014/chart" uri="{C3380CC4-5D6E-409C-BE32-E72D297353CC}">
              <c16:uniqueId val="{00000000-7720-4DA0-BD34-AE544463FA72}"/>
            </c:ext>
          </c:extLst>
        </c:ser>
        <c:dLbls>
          <c:showLegendKey val="0"/>
          <c:showVal val="0"/>
          <c:showCatName val="0"/>
          <c:showSerName val="0"/>
          <c:showPercent val="0"/>
          <c:showBubbleSize val="0"/>
        </c:dLbls>
        <c:gapWidth val="219"/>
        <c:axId val="2136388176"/>
        <c:axId val="2136388592"/>
      </c:barChart>
      <c:lineChart>
        <c:grouping val="standard"/>
        <c:varyColors val="0"/>
        <c:ser>
          <c:idx val="1"/>
          <c:order val="1"/>
          <c:tx>
            <c:strRef>
              <c:f>Pivot_tables.xlsx!$C$26</c:f>
              <c:strCache>
                <c:ptCount val="1"/>
                <c:pt idx="0">
                  <c:v>Sum of average_spend_per_month_inr</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Pivot_tables.xlsx!$A$27:$A$37</c:f>
              <c:strCache>
                <c:ptCount val="10"/>
                <c:pt idx="0">
                  <c:v>Bank Employee</c:v>
                </c:pt>
                <c:pt idx="1">
                  <c:v>Business Owner</c:v>
                </c:pt>
                <c:pt idx="2">
                  <c:v>Engineer</c:v>
                </c:pt>
                <c:pt idx="3">
                  <c:v>Freelancer</c:v>
                </c:pt>
                <c:pt idx="4">
                  <c:v>Government Employee</c:v>
                </c:pt>
                <c:pt idx="5">
                  <c:v>Healthcare Worker</c:v>
                </c:pt>
                <c:pt idx="6">
                  <c:v>IT Professional</c:v>
                </c:pt>
                <c:pt idx="7">
                  <c:v>Sales Executive</c:v>
                </c:pt>
                <c:pt idx="8">
                  <c:v>Student</c:v>
                </c:pt>
                <c:pt idx="9">
                  <c:v>Teacher</c:v>
                </c:pt>
              </c:strCache>
            </c:strRef>
          </c:cat>
          <c:val>
            <c:numRef>
              <c:f>Pivot_tables.xlsx!$C$27:$C$37</c:f>
              <c:numCache>
                <c:formatCode>General</c:formatCode>
                <c:ptCount val="10"/>
                <c:pt idx="0">
                  <c:v>73150</c:v>
                </c:pt>
                <c:pt idx="1">
                  <c:v>64608</c:v>
                </c:pt>
                <c:pt idx="2">
                  <c:v>80132</c:v>
                </c:pt>
                <c:pt idx="3">
                  <c:v>75984</c:v>
                </c:pt>
                <c:pt idx="4">
                  <c:v>82311</c:v>
                </c:pt>
                <c:pt idx="5">
                  <c:v>67500</c:v>
                </c:pt>
                <c:pt idx="6">
                  <c:v>68151</c:v>
                </c:pt>
                <c:pt idx="7">
                  <c:v>71881</c:v>
                </c:pt>
                <c:pt idx="8">
                  <c:v>79751</c:v>
                </c:pt>
                <c:pt idx="9">
                  <c:v>78455</c:v>
                </c:pt>
              </c:numCache>
            </c:numRef>
          </c:val>
          <c:smooth val="0"/>
          <c:extLst>
            <c:ext xmlns:c16="http://schemas.microsoft.com/office/drawing/2014/chart" uri="{C3380CC4-5D6E-409C-BE32-E72D297353CC}">
              <c16:uniqueId val="{00000001-7720-4DA0-BD34-AE544463FA72}"/>
            </c:ext>
          </c:extLst>
        </c:ser>
        <c:dLbls>
          <c:showLegendKey val="0"/>
          <c:showVal val="0"/>
          <c:showCatName val="0"/>
          <c:showSerName val="0"/>
          <c:showPercent val="0"/>
          <c:showBubbleSize val="0"/>
        </c:dLbls>
        <c:marker val="1"/>
        <c:smooth val="0"/>
        <c:axId val="2136386512"/>
        <c:axId val="2136389840"/>
      </c:lineChart>
      <c:catAx>
        <c:axId val="2136388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88592"/>
        <c:crosses val="autoZero"/>
        <c:auto val="1"/>
        <c:lblAlgn val="ctr"/>
        <c:lblOffset val="100"/>
        <c:noMultiLvlLbl val="0"/>
      </c:catAx>
      <c:valAx>
        <c:axId val="213638859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88176"/>
        <c:crosses val="autoZero"/>
        <c:crossBetween val="between"/>
      </c:valAx>
      <c:valAx>
        <c:axId val="21363898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86512"/>
        <c:crosses val="max"/>
        <c:crossBetween val="between"/>
      </c:valAx>
      <c:catAx>
        <c:axId val="2136386512"/>
        <c:scaling>
          <c:orientation val="minMax"/>
        </c:scaling>
        <c:delete val="1"/>
        <c:axPos val="t"/>
        <c:numFmt formatCode="General" sourceLinked="1"/>
        <c:majorTickMark val="out"/>
        <c:minorTickMark val="none"/>
        <c:tickLblPos val="nextTo"/>
        <c:crossAx val="2136389840"/>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Dashboard.xlsx]Pivot_tables.xlsx!favourite coffeetype</c:name>
    <c:fmtId val="0"/>
  </c:pivotSource>
  <c:chart>
    <c:title>
      <c:tx>
        <c:rich>
          <a:bodyPr rot="0" spcFirstLastPara="1" vertOverflow="ellipsis" vert="horz" wrap="square" anchor="ctr" anchorCtr="1"/>
          <a:lstStyle/>
          <a:p>
            <a:pPr rtl="0">
              <a:defRPr lang="en-US" sz="1800" b="1" i="0" u="none" strike="noStrike" kern="1200" spc="0" baseline="0">
                <a:solidFill>
                  <a:schemeClr val="bg2">
                    <a:lumMod val="50000"/>
                  </a:schemeClr>
                </a:solidFill>
                <a:effectLst/>
                <a:latin typeface="+mn-lt"/>
                <a:ea typeface="+mn-ea"/>
                <a:cs typeface="+mn-cs"/>
              </a:defRPr>
            </a:pPr>
            <a:r>
              <a:rPr lang="en-US" sz="1800" b="1" i="0" baseline="0">
                <a:solidFill>
                  <a:schemeClr val="bg2">
                    <a:lumMod val="25000"/>
                  </a:schemeClr>
                </a:solidFill>
                <a:effectLst/>
              </a:rPr>
              <a:t>Favourite Coffee Type</a:t>
            </a:r>
          </a:p>
        </c:rich>
      </c:tx>
      <c:overlay val="0"/>
      <c:spPr>
        <a:noFill/>
        <a:ln>
          <a:noFill/>
        </a:ln>
        <a:effectLst/>
      </c:spPr>
      <c:txPr>
        <a:bodyPr rot="0" spcFirstLastPara="1" vertOverflow="ellipsis" vert="horz" wrap="square" anchor="ctr" anchorCtr="1"/>
        <a:lstStyle/>
        <a:p>
          <a:pPr rtl="0">
            <a:defRPr lang="en-US" sz="1800" b="1" i="0" u="none" strike="noStrike" kern="1200" spc="0" baseline="0">
              <a:solidFill>
                <a:schemeClr val="bg2">
                  <a:lumMod val="50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pivotFmt>
      <c:pivotFmt>
        <c:idx val="5"/>
        <c:spPr>
          <a:solidFill>
            <a:srgbClr val="843C0C"/>
          </a:solidFill>
          <a:ln>
            <a:noFill/>
          </a:ln>
          <a:effectLst/>
        </c:spPr>
      </c:pivotFmt>
      <c:pivotFmt>
        <c:idx val="6"/>
        <c:spPr>
          <a:solidFill>
            <a:srgbClr val="B86950"/>
          </a:solidFill>
          <a:ln>
            <a:noFill/>
          </a:ln>
          <a:effectLst/>
        </c:spPr>
      </c:pivotFmt>
      <c:pivotFmt>
        <c:idx val="7"/>
        <c:spPr>
          <a:solidFill>
            <a:srgbClr val="B86950"/>
          </a:solidFill>
          <a:ln>
            <a:noFill/>
          </a:ln>
          <a:effectLst/>
        </c:spPr>
      </c:pivotFmt>
      <c:pivotFmt>
        <c:idx val="8"/>
        <c:spPr>
          <a:solidFill>
            <a:srgbClr val="B86950"/>
          </a:solidFill>
          <a:ln>
            <a:noFill/>
          </a:ln>
          <a:effectLst/>
        </c:spPr>
      </c:pivotFmt>
      <c:pivotFmt>
        <c:idx val="9"/>
        <c:spPr>
          <a:solidFill>
            <a:srgbClr val="B86950"/>
          </a:solidFill>
          <a:ln>
            <a:noFill/>
          </a:ln>
          <a:effectLst/>
        </c:spPr>
      </c:pivotFmt>
      <c:pivotFmt>
        <c:idx val="10"/>
        <c:spPr>
          <a:solidFill>
            <a:srgbClr val="843C0C"/>
          </a:solidFill>
          <a:ln>
            <a:noFill/>
          </a:ln>
          <a:effectLst/>
        </c:spPr>
      </c:pivotFmt>
    </c:pivotFmts>
    <c:plotArea>
      <c:layout>
        <c:manualLayout>
          <c:layoutTarget val="inner"/>
          <c:xMode val="edge"/>
          <c:yMode val="edge"/>
          <c:x val="0.12360645130894984"/>
          <c:y val="0.17468482045776731"/>
          <c:w val="0.87639354869105013"/>
          <c:h val="0.76850716379701889"/>
        </c:manualLayout>
      </c:layout>
      <c:barChart>
        <c:barDir val="bar"/>
        <c:grouping val="clustered"/>
        <c:varyColors val="0"/>
        <c:ser>
          <c:idx val="0"/>
          <c:order val="0"/>
          <c:tx>
            <c:strRef>
              <c:f>Pivot_tables.xlsx!$B$45</c:f>
              <c:strCache>
                <c:ptCount val="1"/>
                <c:pt idx="0">
                  <c:v>Total</c:v>
                </c:pt>
              </c:strCache>
            </c:strRef>
          </c:tx>
          <c:spPr>
            <a:solidFill>
              <a:schemeClr val="accent2">
                <a:lumMod val="50000"/>
              </a:schemeClr>
            </a:solidFill>
            <a:ln>
              <a:noFill/>
            </a:ln>
            <a:effectLst/>
          </c:spPr>
          <c:invertIfNegative val="0"/>
          <c:dPt>
            <c:idx val="1"/>
            <c:invertIfNegative val="0"/>
            <c:bubble3D val="0"/>
            <c:spPr>
              <a:solidFill>
                <a:srgbClr val="843C0C"/>
              </a:solidFill>
              <a:ln>
                <a:noFill/>
              </a:ln>
              <a:effectLst/>
            </c:spPr>
            <c:extLst>
              <c:ext xmlns:c16="http://schemas.microsoft.com/office/drawing/2014/chart" uri="{C3380CC4-5D6E-409C-BE32-E72D297353CC}">
                <c16:uniqueId val="{00000001-102C-4650-95DF-26C8E8202EB1}"/>
              </c:ext>
            </c:extLst>
          </c:dPt>
          <c:dPt>
            <c:idx val="3"/>
            <c:invertIfNegative val="0"/>
            <c:bubble3D val="0"/>
            <c:spPr>
              <a:solidFill>
                <a:srgbClr val="843C0C"/>
              </a:solidFill>
              <a:ln>
                <a:noFill/>
              </a:ln>
              <a:effectLst/>
            </c:spPr>
            <c:extLst>
              <c:ext xmlns:c16="http://schemas.microsoft.com/office/drawing/2014/chart" uri="{C3380CC4-5D6E-409C-BE32-E72D297353CC}">
                <c16:uniqueId val="{00000003-102C-4650-95DF-26C8E8202EB1}"/>
              </c:ext>
            </c:extLst>
          </c:dPt>
          <c:dPt>
            <c:idx val="4"/>
            <c:invertIfNegative val="0"/>
            <c:bubble3D val="0"/>
            <c:spPr>
              <a:solidFill>
                <a:srgbClr val="B86950"/>
              </a:solidFill>
              <a:ln>
                <a:noFill/>
              </a:ln>
              <a:effectLst/>
            </c:spPr>
            <c:extLst>
              <c:ext xmlns:c16="http://schemas.microsoft.com/office/drawing/2014/chart" uri="{C3380CC4-5D6E-409C-BE32-E72D297353CC}">
                <c16:uniqueId val="{00000005-102C-4650-95DF-26C8E8202EB1}"/>
              </c:ext>
            </c:extLst>
          </c:dPt>
          <c:dPt>
            <c:idx val="5"/>
            <c:invertIfNegative val="0"/>
            <c:bubble3D val="0"/>
            <c:spPr>
              <a:solidFill>
                <a:srgbClr val="B86950"/>
              </a:solidFill>
              <a:ln>
                <a:noFill/>
              </a:ln>
              <a:effectLst/>
            </c:spPr>
            <c:extLst>
              <c:ext xmlns:c16="http://schemas.microsoft.com/office/drawing/2014/chart" uri="{C3380CC4-5D6E-409C-BE32-E72D297353CC}">
                <c16:uniqueId val="{00000007-102C-4650-95DF-26C8E8202EB1}"/>
              </c:ext>
            </c:extLst>
          </c:dPt>
          <c:dPt>
            <c:idx val="6"/>
            <c:invertIfNegative val="0"/>
            <c:bubble3D val="0"/>
            <c:spPr>
              <a:solidFill>
                <a:srgbClr val="B86950"/>
              </a:solidFill>
              <a:ln>
                <a:noFill/>
              </a:ln>
              <a:effectLst/>
            </c:spPr>
            <c:extLst>
              <c:ext xmlns:c16="http://schemas.microsoft.com/office/drawing/2014/chart" uri="{C3380CC4-5D6E-409C-BE32-E72D297353CC}">
                <c16:uniqueId val="{00000009-102C-4650-95DF-26C8E8202EB1}"/>
              </c:ext>
            </c:extLst>
          </c:dPt>
          <c:dPt>
            <c:idx val="7"/>
            <c:invertIfNegative val="0"/>
            <c:bubble3D val="0"/>
            <c:spPr>
              <a:solidFill>
                <a:srgbClr val="B86950"/>
              </a:solidFill>
              <a:ln>
                <a:noFill/>
              </a:ln>
              <a:effectLst/>
            </c:spPr>
            <c:extLst>
              <c:ext xmlns:c16="http://schemas.microsoft.com/office/drawing/2014/chart" uri="{C3380CC4-5D6E-409C-BE32-E72D297353CC}">
                <c16:uniqueId val="{0000000B-102C-4650-95DF-26C8E8202EB1}"/>
              </c:ext>
            </c:extLst>
          </c:dPt>
          <c:cat>
            <c:strRef>
              <c:f>Pivot_tables.xlsx!$A$46:$A$53</c:f>
              <c:strCache>
                <c:ptCount val="8"/>
                <c:pt idx="0">
                  <c:v>Filter Coffee</c:v>
                </c:pt>
                <c:pt idx="1">
                  <c:v>Cold Brew</c:v>
                </c:pt>
                <c:pt idx="2">
                  <c:v>Mocha</c:v>
                </c:pt>
                <c:pt idx="3">
                  <c:v>Espresso</c:v>
                </c:pt>
                <c:pt idx="4">
                  <c:v>Latte</c:v>
                </c:pt>
                <c:pt idx="5">
                  <c:v>Americano</c:v>
                </c:pt>
                <c:pt idx="6">
                  <c:v>Instant Coffee</c:v>
                </c:pt>
                <c:pt idx="7">
                  <c:v>Cappuccino</c:v>
                </c:pt>
              </c:strCache>
            </c:strRef>
          </c:cat>
          <c:val>
            <c:numRef>
              <c:f>Pivot_tables.xlsx!$B$46:$B$53</c:f>
              <c:numCache>
                <c:formatCode>General</c:formatCode>
                <c:ptCount val="8"/>
                <c:pt idx="0">
                  <c:v>211</c:v>
                </c:pt>
                <c:pt idx="1">
                  <c:v>186</c:v>
                </c:pt>
                <c:pt idx="2">
                  <c:v>103</c:v>
                </c:pt>
                <c:pt idx="3">
                  <c:v>103</c:v>
                </c:pt>
                <c:pt idx="4">
                  <c:v>102</c:v>
                </c:pt>
                <c:pt idx="5">
                  <c:v>100</c:v>
                </c:pt>
                <c:pt idx="6">
                  <c:v>99</c:v>
                </c:pt>
                <c:pt idx="7">
                  <c:v>96</c:v>
                </c:pt>
              </c:numCache>
            </c:numRef>
          </c:val>
          <c:extLst>
            <c:ext xmlns:c16="http://schemas.microsoft.com/office/drawing/2014/chart" uri="{C3380CC4-5D6E-409C-BE32-E72D297353CC}">
              <c16:uniqueId val="{0000000D-1F63-416A-B5F8-E72D7AC39D93}"/>
            </c:ext>
          </c:extLst>
        </c:ser>
        <c:dLbls>
          <c:showLegendKey val="0"/>
          <c:showVal val="0"/>
          <c:showCatName val="0"/>
          <c:showSerName val="0"/>
          <c:showPercent val="0"/>
          <c:showBubbleSize val="0"/>
        </c:dLbls>
        <c:gapWidth val="120"/>
        <c:axId val="185575824"/>
        <c:axId val="185584144"/>
      </c:barChart>
      <c:catAx>
        <c:axId val="1855758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84144"/>
        <c:crosses val="autoZero"/>
        <c:auto val="1"/>
        <c:lblAlgn val="ctr"/>
        <c:lblOffset val="100"/>
        <c:noMultiLvlLbl val="0"/>
      </c:catAx>
      <c:valAx>
        <c:axId val="185584144"/>
        <c:scaling>
          <c:orientation val="minMax"/>
        </c:scaling>
        <c:delete val="1"/>
        <c:axPos val="t"/>
        <c:numFmt formatCode="General" sourceLinked="1"/>
        <c:majorTickMark val="none"/>
        <c:minorTickMark val="none"/>
        <c:tickLblPos val="nextTo"/>
        <c:crossAx val="18557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Dashboard.xlsx]Pivot_tables.xlsx!popular coffeebrand</c:name>
    <c:fmtId val="0"/>
  </c:pivotSource>
  <c:chart>
    <c:title>
      <c:tx>
        <c:rich>
          <a:bodyPr rot="0" spcFirstLastPara="1" vertOverflow="ellipsis" vert="horz" wrap="square" anchor="ctr" anchorCtr="1"/>
          <a:lstStyle/>
          <a:p>
            <a:pPr algn="ctr" rtl="0">
              <a:defRPr lang="en-US" sz="1800" b="1" i="0" u="none" strike="noStrike" kern="1200" spc="0" baseline="0">
                <a:solidFill>
                  <a:schemeClr val="bg2">
                    <a:lumMod val="25000"/>
                  </a:schemeClr>
                </a:solidFill>
                <a:effectLst/>
                <a:latin typeface="+mn-lt"/>
                <a:ea typeface="+mn-ea"/>
                <a:cs typeface="+mn-cs"/>
              </a:defRPr>
            </a:pPr>
            <a:r>
              <a:rPr lang="en-US" sz="1800" b="1" i="0" u="none" strike="noStrike" kern="1200" spc="0" baseline="0">
                <a:solidFill>
                  <a:schemeClr val="bg2">
                    <a:lumMod val="25000"/>
                  </a:schemeClr>
                </a:solidFill>
                <a:effectLst/>
                <a:latin typeface="+mn-lt"/>
                <a:ea typeface="+mn-ea"/>
                <a:cs typeface="+mn-cs"/>
              </a:rPr>
              <a:t>Popular Coffee Brands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bg2">
                  <a:lumMod val="2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762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23628"/>
          </a:solidFill>
          <a:ln>
            <a:noFill/>
          </a:ln>
          <a:effectLst/>
        </c:spPr>
      </c:pivotFmt>
      <c:pivotFmt>
        <c:idx val="4"/>
        <c:spPr>
          <a:solidFill>
            <a:srgbClr val="623628"/>
          </a:solidFill>
          <a:ln>
            <a:noFill/>
          </a:ln>
          <a:effectLst/>
        </c:spPr>
      </c:pivotFmt>
      <c:pivotFmt>
        <c:idx val="5"/>
        <c:spPr>
          <a:solidFill>
            <a:srgbClr val="623628"/>
          </a:solidFill>
          <a:ln>
            <a:noFill/>
          </a:ln>
          <a:effectLst/>
        </c:spPr>
      </c:pivotFmt>
      <c:pivotFmt>
        <c:idx val="6"/>
        <c:spPr>
          <a:solidFill>
            <a:srgbClr val="9B553F"/>
          </a:solidFill>
          <a:ln>
            <a:noFill/>
          </a:ln>
          <a:effectLst/>
        </c:spPr>
      </c:pivotFmt>
      <c:pivotFmt>
        <c:idx val="7"/>
        <c:spPr>
          <a:solidFill>
            <a:srgbClr val="9B553F"/>
          </a:solidFill>
          <a:ln>
            <a:noFill/>
          </a:ln>
          <a:effectLst/>
        </c:spPr>
      </c:pivotFmt>
      <c:pivotFmt>
        <c:idx val="8"/>
        <c:spPr>
          <a:solidFill>
            <a:srgbClr val="9B553F"/>
          </a:solidFill>
          <a:ln>
            <a:noFill/>
          </a:ln>
          <a:effectLst/>
        </c:spPr>
      </c:pivotFmt>
    </c:pivotFmts>
    <c:plotArea>
      <c:layout/>
      <c:barChart>
        <c:barDir val="bar"/>
        <c:grouping val="clustered"/>
        <c:varyColors val="0"/>
        <c:ser>
          <c:idx val="0"/>
          <c:order val="0"/>
          <c:tx>
            <c:strRef>
              <c:f>Pivot_tables.xlsx!$B$63</c:f>
              <c:strCache>
                <c:ptCount val="1"/>
                <c:pt idx="0">
                  <c:v>Total</c:v>
                </c:pt>
              </c:strCache>
            </c:strRef>
          </c:tx>
          <c:spPr>
            <a:solidFill>
              <a:schemeClr val="accent1"/>
            </a:solidFill>
            <a:ln>
              <a:noFill/>
            </a:ln>
            <a:effectLst/>
          </c:spPr>
          <c:invertIfNegative val="0"/>
          <c:dPt>
            <c:idx val="0"/>
            <c:invertIfNegative val="0"/>
            <c:bubble3D val="0"/>
            <c:spPr>
              <a:solidFill>
                <a:srgbClr val="9B553F"/>
              </a:solidFill>
              <a:ln>
                <a:noFill/>
              </a:ln>
              <a:effectLst/>
            </c:spPr>
            <c:extLst>
              <c:ext xmlns:c16="http://schemas.microsoft.com/office/drawing/2014/chart" uri="{C3380CC4-5D6E-409C-BE32-E72D297353CC}">
                <c16:uniqueId val="{00000001-9397-4B17-8503-956563CA3D3A}"/>
              </c:ext>
            </c:extLst>
          </c:dPt>
          <c:dPt>
            <c:idx val="1"/>
            <c:invertIfNegative val="0"/>
            <c:bubble3D val="0"/>
            <c:spPr>
              <a:solidFill>
                <a:srgbClr val="9B553F"/>
              </a:solidFill>
              <a:ln>
                <a:noFill/>
              </a:ln>
              <a:effectLst/>
            </c:spPr>
            <c:extLst>
              <c:ext xmlns:c16="http://schemas.microsoft.com/office/drawing/2014/chart" uri="{C3380CC4-5D6E-409C-BE32-E72D297353CC}">
                <c16:uniqueId val="{00000003-9397-4B17-8503-956563CA3D3A}"/>
              </c:ext>
            </c:extLst>
          </c:dPt>
          <c:dPt>
            <c:idx val="2"/>
            <c:invertIfNegative val="0"/>
            <c:bubble3D val="0"/>
            <c:spPr>
              <a:solidFill>
                <a:srgbClr val="9B553F"/>
              </a:solidFill>
              <a:ln>
                <a:noFill/>
              </a:ln>
              <a:effectLst/>
            </c:spPr>
            <c:extLst>
              <c:ext xmlns:c16="http://schemas.microsoft.com/office/drawing/2014/chart" uri="{C3380CC4-5D6E-409C-BE32-E72D297353CC}">
                <c16:uniqueId val="{00000005-9397-4B17-8503-956563CA3D3A}"/>
              </c:ext>
            </c:extLst>
          </c:dPt>
          <c:dPt>
            <c:idx val="3"/>
            <c:invertIfNegative val="0"/>
            <c:bubble3D val="0"/>
            <c:spPr>
              <a:solidFill>
                <a:srgbClr val="623628"/>
              </a:solidFill>
              <a:ln>
                <a:noFill/>
              </a:ln>
              <a:effectLst/>
            </c:spPr>
            <c:extLst>
              <c:ext xmlns:c16="http://schemas.microsoft.com/office/drawing/2014/chart" uri="{C3380CC4-5D6E-409C-BE32-E72D297353CC}">
                <c16:uniqueId val="{00000007-9397-4B17-8503-956563CA3D3A}"/>
              </c:ext>
            </c:extLst>
          </c:dPt>
          <c:dPt>
            <c:idx val="4"/>
            <c:invertIfNegative val="0"/>
            <c:bubble3D val="0"/>
            <c:spPr>
              <a:solidFill>
                <a:srgbClr val="623628"/>
              </a:solidFill>
              <a:ln>
                <a:noFill/>
              </a:ln>
              <a:effectLst/>
            </c:spPr>
            <c:extLst>
              <c:ext xmlns:c16="http://schemas.microsoft.com/office/drawing/2014/chart" uri="{C3380CC4-5D6E-409C-BE32-E72D297353CC}">
                <c16:uniqueId val="{00000009-9397-4B17-8503-956563CA3D3A}"/>
              </c:ext>
            </c:extLst>
          </c:dPt>
          <c:dPt>
            <c:idx val="5"/>
            <c:invertIfNegative val="0"/>
            <c:bubble3D val="0"/>
            <c:spPr>
              <a:solidFill>
                <a:srgbClr val="623628"/>
              </a:solidFill>
              <a:ln>
                <a:noFill/>
              </a:ln>
              <a:effectLst/>
            </c:spPr>
            <c:extLst>
              <c:ext xmlns:c16="http://schemas.microsoft.com/office/drawing/2014/chart" uri="{C3380CC4-5D6E-409C-BE32-E72D297353CC}">
                <c16:uniqueId val="{0000000B-9397-4B17-8503-956563CA3D3A}"/>
              </c:ext>
            </c:extLst>
          </c:dPt>
          <c:cat>
            <c:strRef>
              <c:f>Pivot_tables.xlsx!$A$64:$A$69</c:f>
              <c:strCache>
                <c:ptCount val="6"/>
                <c:pt idx="0">
                  <c:v>Continental Coffee</c:v>
                </c:pt>
                <c:pt idx="1">
                  <c:v>Blue Tokai</c:v>
                </c:pt>
                <c:pt idx="2">
                  <c:v>Tata Coffee</c:v>
                </c:pt>
                <c:pt idx="3">
                  <c:v>Sleepy Owl</c:v>
                </c:pt>
                <c:pt idx="4">
                  <c:v>Bru</c:v>
                </c:pt>
                <c:pt idx="5">
                  <c:v>NesCafa</c:v>
                </c:pt>
              </c:strCache>
            </c:strRef>
          </c:cat>
          <c:val>
            <c:numRef>
              <c:f>Pivot_tables.xlsx!$B$64:$B$69</c:f>
              <c:numCache>
                <c:formatCode>General</c:formatCode>
                <c:ptCount val="6"/>
                <c:pt idx="0">
                  <c:v>86</c:v>
                </c:pt>
                <c:pt idx="1">
                  <c:v>99</c:v>
                </c:pt>
                <c:pt idx="2">
                  <c:v>102</c:v>
                </c:pt>
                <c:pt idx="3">
                  <c:v>110</c:v>
                </c:pt>
                <c:pt idx="4">
                  <c:v>230</c:v>
                </c:pt>
                <c:pt idx="5">
                  <c:v>373</c:v>
                </c:pt>
              </c:numCache>
            </c:numRef>
          </c:val>
          <c:extLst>
            <c:ext xmlns:c16="http://schemas.microsoft.com/office/drawing/2014/chart" uri="{C3380CC4-5D6E-409C-BE32-E72D297353CC}">
              <c16:uniqueId val="{0000000C-58D1-4E52-82F8-21FA1CB5364F}"/>
            </c:ext>
          </c:extLst>
        </c:ser>
        <c:dLbls>
          <c:showLegendKey val="0"/>
          <c:showVal val="0"/>
          <c:showCatName val="0"/>
          <c:showSerName val="0"/>
          <c:showPercent val="0"/>
          <c:showBubbleSize val="0"/>
        </c:dLbls>
        <c:gapWidth val="125"/>
        <c:axId val="191965040"/>
        <c:axId val="191960048"/>
      </c:barChart>
      <c:catAx>
        <c:axId val="191965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60048"/>
        <c:crosses val="autoZero"/>
        <c:auto val="1"/>
        <c:lblAlgn val="ctr"/>
        <c:lblOffset val="100"/>
        <c:noMultiLvlLbl val="0"/>
      </c:catAx>
      <c:valAx>
        <c:axId val="191960048"/>
        <c:scaling>
          <c:orientation val="minMax"/>
        </c:scaling>
        <c:delete val="1"/>
        <c:axPos val="b"/>
        <c:numFmt formatCode="General" sourceLinked="1"/>
        <c:majorTickMark val="out"/>
        <c:minorTickMark val="none"/>
        <c:tickLblPos val="nextTo"/>
        <c:crossAx val="191965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Dashboard.xlsx]Pivot_tables.xlsx!preferred 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Preferred Time</a:t>
            </a:r>
            <a:endParaRPr lang="en-US">
              <a:effectLst/>
            </a:endParaRPr>
          </a:p>
        </c:rich>
      </c:tx>
      <c:layout>
        <c:manualLayout>
          <c:xMode val="edge"/>
          <c:yMode val="edge"/>
          <c:x val="0.54904460912284059"/>
          <c:y val="6.27353561512652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4A26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5EFE6"/>
          </a:solidFill>
          <a:ln w="19050">
            <a:solidFill>
              <a:schemeClr val="lt1"/>
            </a:solidFill>
          </a:ln>
          <a:effectLst/>
        </c:spPr>
        <c:dLbl>
          <c:idx val="0"/>
          <c:layout>
            <c:manualLayout>
              <c:x val="-0.14040803717605319"/>
              <c:y val="-1.1425506310287714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576991808531118"/>
                  <c:h val="0.16903868964305427"/>
                </c:manualLayout>
              </c15:layout>
            </c:ext>
          </c:extLst>
        </c:dLbl>
      </c:pivotFmt>
      <c:pivotFmt>
        <c:idx val="2"/>
        <c:spPr>
          <a:solidFill>
            <a:schemeClr val="accent2">
              <a:lumMod val="50000"/>
            </a:schemeClr>
          </a:solidFill>
          <a:ln w="19050">
            <a:solidFill>
              <a:schemeClr val="lt1"/>
            </a:solidFill>
          </a:ln>
          <a:effectLst/>
        </c:spPr>
        <c:dLbl>
          <c:idx val="0"/>
          <c:layout>
            <c:manualLayout>
              <c:x val="0.15025475828618193"/>
              <c:y val="2.04478749658820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B3834E"/>
          </a:solidFill>
          <a:ln w="19050">
            <a:solidFill>
              <a:schemeClr val="lt1"/>
            </a:solidFill>
          </a:ln>
          <a:effectLst/>
        </c:spPr>
        <c:dLbl>
          <c:idx val="0"/>
          <c:layout>
            <c:manualLayout>
              <c:x val="-0.10998435806537529"/>
              <c:y val="-0.1584240840907061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F4A261"/>
          </a:solidFill>
          <a:ln w="19050">
            <a:solidFill>
              <a:schemeClr val="lt1"/>
            </a:solidFill>
          </a:ln>
          <a:effectLst/>
        </c:spPr>
      </c:pivotFmt>
    </c:pivotFmts>
    <c:plotArea>
      <c:layout>
        <c:manualLayout>
          <c:layoutTarget val="inner"/>
          <c:xMode val="edge"/>
          <c:yMode val="edge"/>
          <c:x val="0.32793827895264321"/>
          <c:y val="0.31752139389986606"/>
          <c:w val="0.41677526669622322"/>
          <c:h val="0.68247860610013389"/>
        </c:manualLayout>
      </c:layout>
      <c:pieChart>
        <c:varyColors val="1"/>
        <c:ser>
          <c:idx val="0"/>
          <c:order val="0"/>
          <c:tx>
            <c:strRef>
              <c:f>Pivot_tables.xlsx!$B$77</c:f>
              <c:strCache>
                <c:ptCount val="1"/>
                <c:pt idx="0">
                  <c:v>Total</c:v>
                </c:pt>
              </c:strCache>
            </c:strRef>
          </c:tx>
          <c:spPr>
            <a:solidFill>
              <a:srgbClr val="F4A261"/>
            </a:solidFill>
          </c:spPr>
          <c:dPt>
            <c:idx val="0"/>
            <c:bubble3D val="0"/>
            <c:spPr>
              <a:solidFill>
                <a:srgbClr val="F5EFE6"/>
              </a:solidFill>
              <a:ln w="19050">
                <a:solidFill>
                  <a:schemeClr val="lt1"/>
                </a:solidFill>
              </a:ln>
              <a:effectLst/>
            </c:spPr>
            <c:extLst>
              <c:ext xmlns:c16="http://schemas.microsoft.com/office/drawing/2014/chart" uri="{C3380CC4-5D6E-409C-BE32-E72D297353CC}">
                <c16:uniqueId val="{00000002-691E-406C-8EF0-4EDF56208CA3}"/>
              </c:ext>
            </c:extLst>
          </c:dPt>
          <c:dPt>
            <c:idx val="1"/>
            <c:bubble3D val="0"/>
            <c:spPr>
              <a:solidFill>
                <a:srgbClr val="F4A261"/>
              </a:solidFill>
              <a:ln w="19050">
                <a:solidFill>
                  <a:schemeClr val="lt1"/>
                </a:solidFill>
              </a:ln>
              <a:effectLst/>
            </c:spPr>
            <c:extLst>
              <c:ext xmlns:c16="http://schemas.microsoft.com/office/drawing/2014/chart" uri="{C3380CC4-5D6E-409C-BE32-E72D297353CC}">
                <c16:uniqueId val="{00000005-691E-406C-8EF0-4EDF56208CA3}"/>
              </c:ext>
            </c:extLst>
          </c:dPt>
          <c:dPt>
            <c:idx val="2"/>
            <c:bubble3D val="0"/>
            <c:spPr>
              <a:solidFill>
                <a:srgbClr val="B3834E"/>
              </a:solidFill>
              <a:ln w="19050">
                <a:solidFill>
                  <a:schemeClr val="lt1"/>
                </a:solidFill>
              </a:ln>
              <a:effectLst/>
            </c:spPr>
            <c:extLst>
              <c:ext xmlns:c16="http://schemas.microsoft.com/office/drawing/2014/chart" uri="{C3380CC4-5D6E-409C-BE32-E72D297353CC}">
                <c16:uniqueId val="{00000004-691E-406C-8EF0-4EDF56208CA3}"/>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691E-406C-8EF0-4EDF56208CA3}"/>
              </c:ext>
            </c:extLst>
          </c:dPt>
          <c:dLbls>
            <c:dLbl>
              <c:idx val="0"/>
              <c:layout>
                <c:manualLayout>
                  <c:x val="-0.14040803717605319"/>
                  <c:y val="-1.1425506310287714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576991808531118"/>
                      <c:h val="0.16903868964305427"/>
                    </c:manualLayout>
                  </c15:layout>
                </c:ext>
                <c:ext xmlns:c16="http://schemas.microsoft.com/office/drawing/2014/chart" uri="{C3380CC4-5D6E-409C-BE32-E72D297353CC}">
                  <c16:uniqueId val="{00000002-691E-406C-8EF0-4EDF56208CA3}"/>
                </c:ext>
              </c:extLst>
            </c:dLbl>
            <c:dLbl>
              <c:idx val="2"/>
              <c:layout>
                <c:manualLayout>
                  <c:x val="-0.10998435806537529"/>
                  <c:y val="-0.158424084090706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91E-406C-8EF0-4EDF56208CA3}"/>
                </c:ext>
              </c:extLst>
            </c:dLbl>
            <c:dLbl>
              <c:idx val="3"/>
              <c:layout>
                <c:manualLayout>
                  <c:x val="0.15025475828618193"/>
                  <c:y val="2.0447874965882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1E-406C-8EF0-4EDF56208CA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Pivot_tables.xlsx!$A$78:$A$82</c:f>
              <c:strCache>
                <c:ptCount val="4"/>
                <c:pt idx="0">
                  <c:v>afternoon</c:v>
                </c:pt>
                <c:pt idx="1">
                  <c:v>evening</c:v>
                </c:pt>
                <c:pt idx="2">
                  <c:v>morning</c:v>
                </c:pt>
                <c:pt idx="3">
                  <c:v>night</c:v>
                </c:pt>
              </c:strCache>
            </c:strRef>
          </c:cat>
          <c:val>
            <c:numRef>
              <c:f>Pivot_tables.xlsx!$B$78:$B$82</c:f>
              <c:numCache>
                <c:formatCode>0</c:formatCode>
                <c:ptCount val="4"/>
                <c:pt idx="0">
                  <c:v>140.82499999999976</c:v>
                </c:pt>
                <c:pt idx="1">
                  <c:v>255.39999999999949</c:v>
                </c:pt>
                <c:pt idx="2">
                  <c:v>534.19999999999891</c:v>
                </c:pt>
                <c:pt idx="3">
                  <c:v>597.79999999999927</c:v>
                </c:pt>
              </c:numCache>
            </c:numRef>
          </c:val>
          <c:extLst>
            <c:ext xmlns:c16="http://schemas.microsoft.com/office/drawing/2014/chart" uri="{C3380CC4-5D6E-409C-BE32-E72D297353CC}">
              <c16:uniqueId val="{00000000-691E-406C-8EF0-4EDF56208CA3}"/>
            </c:ext>
          </c:extLst>
        </c:ser>
        <c:dLbls>
          <c:dLblPos val="bestFit"/>
          <c:showLegendKey val="0"/>
          <c:showVal val="1"/>
          <c:showCatName val="0"/>
          <c:showSerName val="0"/>
          <c:showPercent val="0"/>
          <c:showBubbleSize val="0"/>
          <c:showLeaderLines val="1"/>
        </c:dLbls>
        <c:firstSliceAng val="35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Dashboard.xlsx]Pivot_tables.xlsx!consume location</c:name>
    <c:fmtId val="0"/>
  </c:pivotSource>
  <c:chart>
    <c:title>
      <c:tx>
        <c:rich>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effectLst/>
                <a:latin typeface="+mn-lt"/>
                <a:ea typeface="+mn-ea"/>
                <a:cs typeface="+mn-cs"/>
              </a:defRPr>
            </a:pPr>
            <a:r>
              <a:rPr lang="en-US" sz="1800" b="1" i="0" u="none" strike="noStrike" kern="1200" spc="0" baseline="0">
                <a:solidFill>
                  <a:sysClr val="windowText" lastClr="000000">
                    <a:lumMod val="65000"/>
                    <a:lumOff val="35000"/>
                  </a:sysClr>
                </a:solidFill>
                <a:effectLst/>
                <a:latin typeface="+mn-lt"/>
                <a:ea typeface="+mn-ea"/>
                <a:cs typeface="+mn-cs"/>
              </a:rPr>
              <a:t>Consumption Location</a:t>
            </a:r>
          </a:p>
        </c:rich>
      </c:tx>
      <c:overlay val="0"/>
      <c:spPr>
        <a:noFill/>
        <a:ln>
          <a:noFill/>
        </a:ln>
        <a:effectLst/>
      </c:spPr>
      <c:txPr>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rgbClr val="F4A2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Pivot_tables.xlsx!$B$93</c:f>
              <c:strCache>
                <c:ptCount val="1"/>
                <c:pt idx="0">
                  <c:v>Total</c:v>
                </c:pt>
              </c:strCache>
            </c:strRef>
          </c:tx>
          <c:spPr>
            <a:solidFill>
              <a:srgbClr val="F4A261"/>
            </a:solidFill>
            <a:ln>
              <a:noFill/>
            </a:ln>
            <a:effectLst/>
          </c:spPr>
          <c:invertIfNegative val="0"/>
          <c:cat>
            <c:strRef>
              <c:f>Pivot_tables.xlsx!$A$94:$A$97</c:f>
              <c:strCache>
                <c:ptCount val="3"/>
                <c:pt idx="0">
                  <c:v>Cafa</c:v>
                </c:pt>
                <c:pt idx="1">
                  <c:v>home</c:v>
                </c:pt>
                <c:pt idx="2">
                  <c:v>office</c:v>
                </c:pt>
              </c:strCache>
            </c:strRef>
          </c:cat>
          <c:val>
            <c:numRef>
              <c:f>Pivot_tables.xlsx!$B$94:$B$97</c:f>
              <c:numCache>
                <c:formatCode>General</c:formatCode>
                <c:ptCount val="3"/>
                <c:pt idx="0">
                  <c:v>192</c:v>
                </c:pt>
                <c:pt idx="1">
                  <c:v>482</c:v>
                </c:pt>
                <c:pt idx="2">
                  <c:v>326</c:v>
                </c:pt>
              </c:numCache>
            </c:numRef>
          </c:val>
          <c:extLst>
            <c:ext xmlns:c16="http://schemas.microsoft.com/office/drawing/2014/chart" uri="{C3380CC4-5D6E-409C-BE32-E72D297353CC}">
              <c16:uniqueId val="{00000000-3131-4F46-A74D-F6F0B96DB049}"/>
            </c:ext>
          </c:extLst>
        </c:ser>
        <c:dLbls>
          <c:showLegendKey val="0"/>
          <c:showVal val="0"/>
          <c:showCatName val="0"/>
          <c:showSerName val="0"/>
          <c:showPercent val="0"/>
          <c:showBubbleSize val="0"/>
        </c:dLbls>
        <c:gapWidth val="219"/>
        <c:overlap val="-27"/>
        <c:axId val="114721216"/>
        <c:axId val="114740352"/>
      </c:barChart>
      <c:catAx>
        <c:axId val="11472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1400" b="0" i="0" u="none" strike="noStrike" kern="1200" baseline="0">
                <a:solidFill>
                  <a:schemeClr val="tx1">
                    <a:lumMod val="65000"/>
                    <a:lumOff val="35000"/>
                  </a:schemeClr>
                </a:solidFill>
                <a:latin typeface="+mn-lt"/>
                <a:ea typeface="+mn-ea"/>
                <a:cs typeface="+mn-cs"/>
              </a:defRPr>
            </a:pPr>
            <a:endParaRPr lang="en-US"/>
          </a:p>
        </c:txPr>
        <c:crossAx val="114740352"/>
        <c:crosses val="autoZero"/>
        <c:auto val="1"/>
        <c:lblAlgn val="ctr"/>
        <c:lblOffset val="100"/>
        <c:noMultiLvlLbl val="0"/>
      </c:catAx>
      <c:valAx>
        <c:axId val="114740352"/>
        <c:scaling>
          <c:orientation val="minMax"/>
        </c:scaling>
        <c:delete val="1"/>
        <c:axPos val="l"/>
        <c:numFmt formatCode="General" sourceLinked="1"/>
        <c:majorTickMark val="none"/>
        <c:minorTickMark val="none"/>
        <c:tickLblPos val="nextTo"/>
        <c:crossAx val="11472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Dashboard.xlsx]Pivot_tables.xlsx!metro vs teir trend</c:name>
    <c:fmtId val="0"/>
  </c:pivotSource>
  <c:chart>
    <c:title>
      <c:tx>
        <c:rich>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effectLst/>
                <a:latin typeface="+mn-lt"/>
                <a:ea typeface="+mn-ea"/>
                <a:cs typeface="+mn-cs"/>
              </a:defRPr>
            </a:pPr>
            <a:r>
              <a:rPr lang="en-US" sz="1800" b="1" i="0" u="none" strike="noStrike" kern="1200" spc="0" baseline="0">
                <a:solidFill>
                  <a:sysClr val="windowText" lastClr="000000">
                    <a:lumMod val="65000"/>
                    <a:lumOff val="35000"/>
                  </a:sysClr>
                </a:solidFill>
                <a:effectLst/>
                <a:latin typeface="+mn-lt"/>
                <a:ea typeface="+mn-ea"/>
                <a:cs typeface="+mn-cs"/>
              </a:rPr>
              <a:t>Metro vs Teir City coffee trends</a:t>
            </a:r>
          </a:p>
        </c:rich>
      </c:tx>
      <c:overlay val="0"/>
      <c:spPr>
        <a:noFill/>
        <a:ln>
          <a:noFill/>
        </a:ln>
        <a:effectLst/>
      </c:spPr>
      <c:txPr>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ln w="28575" cap="rnd">
            <a:solidFill>
              <a:srgbClr val="6A310A"/>
            </a:solidFill>
            <a:round/>
          </a:ln>
          <a:effectLst/>
        </c:spPr>
        <c:marker>
          <c:symbol val="circle"/>
          <c:size val="5"/>
          <c:spPr>
            <a:solidFill>
              <a:schemeClr val="accent2">
                <a:lumMod val="50000"/>
              </a:schemeClr>
            </a:solidFill>
            <a:ln w="9525">
              <a:solidFill>
                <a:srgbClr val="6A310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A310A"/>
            </a:solidFill>
            <a:round/>
          </a:ln>
          <a:effectLst/>
        </c:spPr>
        <c:marker>
          <c:symbol val="circle"/>
          <c:size val="5"/>
          <c:spPr>
            <a:solidFill>
              <a:schemeClr val="accent2">
                <a:lumMod val="50000"/>
              </a:schemeClr>
            </a:solidFill>
            <a:ln w="9525">
              <a:solidFill>
                <a:srgbClr val="6A310A"/>
              </a:solidFill>
            </a:ln>
            <a:effectLst/>
          </c:spPr>
        </c:marker>
      </c:pivotFmt>
      <c:pivotFmt>
        <c:idx val="2"/>
        <c:spPr>
          <a:ln w="28575" cap="rnd">
            <a:solidFill>
              <a:srgbClr val="6A310A"/>
            </a:solidFill>
            <a:round/>
          </a:ln>
          <a:effectLst/>
        </c:spPr>
        <c:marker>
          <c:symbol val="circle"/>
          <c:size val="5"/>
          <c:spPr>
            <a:solidFill>
              <a:schemeClr val="accent2">
                <a:lumMod val="50000"/>
              </a:schemeClr>
            </a:solidFill>
            <a:ln w="9525">
              <a:solidFill>
                <a:srgbClr val="6A310A"/>
              </a:solidFill>
            </a:ln>
            <a:effectLst/>
          </c:spPr>
        </c:marker>
      </c:pivotFmt>
    </c:pivotFmts>
    <c:plotArea>
      <c:layout>
        <c:manualLayout>
          <c:layoutTarget val="inner"/>
          <c:xMode val="edge"/>
          <c:yMode val="edge"/>
          <c:x val="0.25073310771357832"/>
          <c:y val="0.31045578936076307"/>
          <c:w val="0.46810387272182047"/>
          <c:h val="0.62313630258713082"/>
        </c:manualLayout>
      </c:layout>
      <c:radarChart>
        <c:radarStyle val="marker"/>
        <c:varyColors val="0"/>
        <c:ser>
          <c:idx val="0"/>
          <c:order val="0"/>
          <c:tx>
            <c:strRef>
              <c:f>Pivot_tables.xlsx!$B$109</c:f>
              <c:strCache>
                <c:ptCount val="1"/>
                <c:pt idx="0">
                  <c:v>Total</c:v>
                </c:pt>
              </c:strCache>
            </c:strRef>
          </c:tx>
          <c:spPr>
            <a:ln w="28575" cap="rnd">
              <a:solidFill>
                <a:srgbClr val="6A310A"/>
              </a:solidFill>
              <a:round/>
            </a:ln>
            <a:effectLst/>
          </c:spPr>
          <c:marker>
            <c:symbol val="circle"/>
            <c:size val="5"/>
            <c:spPr>
              <a:solidFill>
                <a:schemeClr val="accent2">
                  <a:lumMod val="50000"/>
                </a:schemeClr>
              </a:solidFill>
              <a:ln w="9525">
                <a:solidFill>
                  <a:srgbClr val="6A310A"/>
                </a:solidFill>
              </a:ln>
              <a:effectLst/>
            </c:spPr>
          </c:marker>
          <c:cat>
            <c:strRef>
              <c:f>Pivot_tables.xlsx!$A$110:$A$113</c:f>
              <c:strCache>
                <c:ptCount val="3"/>
                <c:pt idx="0">
                  <c:v>metro</c:v>
                </c:pt>
                <c:pt idx="1">
                  <c:v>tier2</c:v>
                </c:pt>
                <c:pt idx="2">
                  <c:v>tier3</c:v>
                </c:pt>
              </c:strCache>
            </c:strRef>
          </c:cat>
          <c:val>
            <c:numRef>
              <c:f>Pivot_tables.xlsx!$B$110:$B$113</c:f>
              <c:numCache>
                <c:formatCode>General</c:formatCode>
                <c:ptCount val="3"/>
                <c:pt idx="0">
                  <c:v>391</c:v>
                </c:pt>
                <c:pt idx="1">
                  <c:v>336</c:v>
                </c:pt>
                <c:pt idx="2">
                  <c:v>273</c:v>
                </c:pt>
              </c:numCache>
            </c:numRef>
          </c:val>
          <c:extLst>
            <c:ext xmlns:c16="http://schemas.microsoft.com/office/drawing/2014/chart" uri="{C3380CC4-5D6E-409C-BE32-E72D297353CC}">
              <c16:uniqueId val="{00000000-1A42-403A-8101-9E960BE06D11}"/>
            </c:ext>
          </c:extLst>
        </c:ser>
        <c:dLbls>
          <c:showLegendKey val="0"/>
          <c:showVal val="0"/>
          <c:showCatName val="0"/>
          <c:showSerName val="0"/>
          <c:showPercent val="0"/>
          <c:showBubbleSize val="0"/>
        </c:dLbls>
        <c:axId val="400831040"/>
        <c:axId val="400819392"/>
      </c:radarChart>
      <c:catAx>
        <c:axId val="40083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00819392"/>
        <c:crosses val="autoZero"/>
        <c:auto val="1"/>
        <c:lblAlgn val="ctr"/>
        <c:lblOffset val="100"/>
        <c:noMultiLvlLbl val="0"/>
      </c:catAx>
      <c:valAx>
        <c:axId val="4008193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00831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Dashboard.xlsx]Pivot_tables.xlsx!health consious trend</c:name>
    <c:fmtId val="1"/>
  </c:pivotSource>
  <c:chart>
    <c:title>
      <c:tx>
        <c:rich>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effectLst/>
                <a:latin typeface="+mn-lt"/>
                <a:ea typeface="+mn-ea"/>
                <a:cs typeface="+mn-cs"/>
              </a:defRPr>
            </a:pPr>
            <a:r>
              <a:rPr lang="en-US" sz="1800" b="1" i="0" u="none" strike="noStrike" kern="1200" spc="0" baseline="0">
                <a:solidFill>
                  <a:sysClr val="windowText" lastClr="000000">
                    <a:lumMod val="65000"/>
                    <a:lumOff val="35000"/>
                  </a:sysClr>
                </a:solidFill>
                <a:effectLst/>
                <a:latin typeface="+mn-lt"/>
                <a:ea typeface="+mn-ea"/>
                <a:cs typeface="+mn-cs"/>
              </a:rPr>
              <a:t>Health-Conscious Coffee trends (Agewise)</a:t>
            </a:r>
          </a:p>
        </c:rich>
      </c:tx>
      <c:layout>
        <c:manualLayout>
          <c:xMode val="edge"/>
          <c:yMode val="edge"/>
          <c:x val="0.11887076947930064"/>
          <c:y val="5.7621791513881616E-2"/>
        </c:manualLayout>
      </c:layout>
      <c:overlay val="0"/>
      <c:spPr>
        <a:noFill/>
        <a:ln>
          <a:noFill/>
        </a:ln>
        <a:effectLst/>
      </c:spPr>
      <c:txPr>
        <a:bodyPr rot="0" spcFirstLastPara="1" vertOverflow="ellipsis" vert="horz" wrap="square" anchor="ctr" anchorCtr="1"/>
        <a:lstStyle/>
        <a:p>
          <a:pPr>
            <a:defRPr lang="en-US" sz="180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rgbClr val="B383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F6D3F"/>
          </a:solidFill>
          <a:ln>
            <a:noFill/>
          </a:ln>
          <a:effectLst/>
        </c:spPr>
      </c:pivotFmt>
      <c:pivotFmt>
        <c:idx val="2"/>
        <c:spPr>
          <a:solidFill>
            <a:srgbClr val="9F6D3F"/>
          </a:solidFill>
          <a:ln>
            <a:noFill/>
          </a:ln>
          <a:effectLst/>
        </c:spPr>
      </c:pivotFmt>
      <c:pivotFmt>
        <c:idx val="3"/>
        <c:spPr>
          <a:solidFill>
            <a:srgbClr val="9F6D3F"/>
          </a:solidFill>
          <a:ln>
            <a:noFill/>
          </a:ln>
          <a:effectLst/>
        </c:spPr>
      </c:pivotFmt>
      <c:pivotFmt>
        <c:idx val="4"/>
        <c:spPr>
          <a:solidFill>
            <a:srgbClr val="9F6D3F"/>
          </a:solidFill>
          <a:ln>
            <a:noFill/>
          </a:ln>
          <a:effectLst/>
        </c:spPr>
      </c:pivotFmt>
      <c:pivotFmt>
        <c:idx val="5"/>
        <c:spPr>
          <a:solidFill>
            <a:srgbClr val="9F6D3F"/>
          </a:solidFill>
          <a:ln>
            <a:noFill/>
          </a:ln>
          <a:effectLst/>
        </c:spPr>
      </c:pivotFmt>
      <c:pivotFmt>
        <c:idx val="6"/>
        <c:spPr>
          <a:solidFill>
            <a:srgbClr val="86A653"/>
          </a:solidFill>
          <a:ln>
            <a:noFill/>
          </a:ln>
          <a:effectLst/>
        </c:spPr>
      </c:pivotFmt>
      <c:pivotFmt>
        <c:idx val="7"/>
        <c:spPr>
          <a:solidFill>
            <a:srgbClr val="86A653"/>
          </a:solidFill>
          <a:ln>
            <a:noFill/>
          </a:ln>
          <a:effectLst/>
        </c:spPr>
      </c:pivotFmt>
      <c:pivotFmt>
        <c:idx val="8"/>
        <c:spPr>
          <a:solidFill>
            <a:srgbClr val="86A653"/>
          </a:solidFill>
          <a:ln>
            <a:noFill/>
          </a:ln>
          <a:effectLst/>
        </c:spPr>
      </c:pivotFmt>
      <c:pivotFmt>
        <c:idx val="9"/>
        <c:spPr>
          <a:solidFill>
            <a:srgbClr val="86A653"/>
          </a:solidFill>
          <a:ln>
            <a:noFill/>
          </a:ln>
          <a:effectLst/>
        </c:spPr>
      </c:pivotFmt>
      <c:pivotFmt>
        <c:idx val="10"/>
        <c:spPr>
          <a:solidFill>
            <a:srgbClr val="86A653"/>
          </a:solidFill>
          <a:ln>
            <a:noFill/>
          </a:ln>
          <a:effectLst/>
        </c:spPr>
      </c:pivotFmt>
      <c:pivotFmt>
        <c:idx val="11"/>
        <c:spPr>
          <a:solidFill>
            <a:srgbClr val="A5D6A7"/>
          </a:solidFill>
          <a:ln>
            <a:noFill/>
          </a:ln>
          <a:effectLst/>
        </c:spPr>
      </c:pivotFmt>
      <c:pivotFmt>
        <c:idx val="12"/>
        <c:spPr>
          <a:solidFill>
            <a:srgbClr val="A5D6A7"/>
          </a:solidFill>
          <a:ln>
            <a:noFill/>
          </a:ln>
          <a:effectLst/>
        </c:spPr>
      </c:pivotFmt>
      <c:pivotFmt>
        <c:idx val="13"/>
        <c:spPr>
          <a:solidFill>
            <a:srgbClr val="A5D6A7"/>
          </a:solidFill>
          <a:ln>
            <a:noFill/>
          </a:ln>
          <a:effectLst/>
        </c:spPr>
      </c:pivotFmt>
      <c:pivotFmt>
        <c:idx val="14"/>
        <c:spPr>
          <a:solidFill>
            <a:srgbClr val="A5D6A7"/>
          </a:solidFill>
          <a:ln>
            <a:noFill/>
          </a:ln>
          <a:effectLst/>
        </c:spPr>
      </c:pivotFmt>
      <c:pivotFmt>
        <c:idx val="15"/>
        <c:spPr>
          <a:solidFill>
            <a:srgbClr val="A5D6A7"/>
          </a:solidFill>
          <a:ln>
            <a:noFill/>
          </a:ln>
          <a:effectLst/>
        </c:spPr>
      </c:pivotFmt>
      <c:pivotFmt>
        <c:idx val="16"/>
        <c:spPr>
          <a:solidFill>
            <a:srgbClr val="CA9F78"/>
          </a:solidFill>
          <a:ln>
            <a:noFill/>
          </a:ln>
          <a:effectLst/>
        </c:spPr>
      </c:pivotFmt>
      <c:pivotFmt>
        <c:idx val="17"/>
        <c:spPr>
          <a:solidFill>
            <a:srgbClr val="CA9F78"/>
          </a:solidFill>
          <a:ln>
            <a:noFill/>
          </a:ln>
          <a:effectLst/>
        </c:spPr>
      </c:pivotFmt>
      <c:pivotFmt>
        <c:idx val="18"/>
        <c:spPr>
          <a:solidFill>
            <a:srgbClr val="CA9F78"/>
          </a:solidFill>
          <a:ln>
            <a:noFill/>
          </a:ln>
          <a:effectLst/>
        </c:spPr>
      </c:pivotFmt>
      <c:pivotFmt>
        <c:idx val="19"/>
        <c:spPr>
          <a:solidFill>
            <a:srgbClr val="CA9F78"/>
          </a:solidFill>
          <a:ln>
            <a:noFill/>
          </a:ln>
          <a:effectLst/>
        </c:spPr>
      </c:pivotFmt>
      <c:pivotFmt>
        <c:idx val="20"/>
        <c:spPr>
          <a:solidFill>
            <a:srgbClr val="CA9F78"/>
          </a:solidFill>
          <a:ln>
            <a:noFill/>
          </a:ln>
          <a:effectLst/>
        </c:spPr>
      </c:pivotFmt>
      <c:pivotFmt>
        <c:idx val="21"/>
        <c:spPr>
          <a:solidFill>
            <a:srgbClr val="9F6D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86A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A5D6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CA9F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650657546698244E-2"/>
          <c:y val="0.18056911350405389"/>
          <c:w val="0.96049680861383269"/>
          <c:h val="0.69400710488356687"/>
        </c:manualLayout>
      </c:layout>
      <c:barChart>
        <c:barDir val="col"/>
        <c:grouping val="clustered"/>
        <c:varyColors val="0"/>
        <c:ser>
          <c:idx val="0"/>
          <c:order val="0"/>
          <c:tx>
            <c:strRef>
              <c:f>Pivot_tables.xlsx!$B$125:$B$126</c:f>
              <c:strCache>
                <c:ptCount val="1"/>
                <c:pt idx="0">
                  <c:v>low caffeine</c:v>
                </c:pt>
              </c:strCache>
            </c:strRef>
          </c:tx>
          <c:spPr>
            <a:solidFill>
              <a:srgbClr val="CA9F78"/>
            </a:solidFill>
            <a:ln>
              <a:noFill/>
            </a:ln>
            <a:effectLst/>
          </c:spPr>
          <c:invertIfNegative val="0"/>
          <c:dPt>
            <c:idx val="0"/>
            <c:invertIfNegative val="0"/>
            <c:bubble3D val="0"/>
            <c:spPr>
              <a:solidFill>
                <a:srgbClr val="CA9F78"/>
              </a:solidFill>
              <a:ln>
                <a:noFill/>
              </a:ln>
              <a:effectLst/>
            </c:spPr>
            <c:extLst>
              <c:ext xmlns:c16="http://schemas.microsoft.com/office/drawing/2014/chart" uri="{C3380CC4-5D6E-409C-BE32-E72D297353CC}">
                <c16:uniqueId val="{00000011-557C-4E8B-BB52-63F7B63F10CD}"/>
              </c:ext>
            </c:extLst>
          </c:dPt>
          <c:dPt>
            <c:idx val="1"/>
            <c:invertIfNegative val="0"/>
            <c:bubble3D val="0"/>
            <c:spPr>
              <a:solidFill>
                <a:srgbClr val="CA9F78"/>
              </a:solidFill>
              <a:ln>
                <a:noFill/>
              </a:ln>
              <a:effectLst/>
            </c:spPr>
            <c:extLst>
              <c:ext xmlns:c16="http://schemas.microsoft.com/office/drawing/2014/chart" uri="{C3380CC4-5D6E-409C-BE32-E72D297353CC}">
                <c16:uniqueId val="{00000012-557C-4E8B-BB52-63F7B63F10CD}"/>
              </c:ext>
            </c:extLst>
          </c:dPt>
          <c:dPt>
            <c:idx val="2"/>
            <c:invertIfNegative val="0"/>
            <c:bubble3D val="0"/>
            <c:spPr>
              <a:solidFill>
                <a:srgbClr val="CA9F78"/>
              </a:solidFill>
              <a:ln>
                <a:noFill/>
              </a:ln>
              <a:effectLst/>
            </c:spPr>
            <c:extLst>
              <c:ext xmlns:c16="http://schemas.microsoft.com/office/drawing/2014/chart" uri="{C3380CC4-5D6E-409C-BE32-E72D297353CC}">
                <c16:uniqueId val="{00000013-557C-4E8B-BB52-63F7B63F10CD}"/>
              </c:ext>
            </c:extLst>
          </c:dPt>
          <c:dPt>
            <c:idx val="3"/>
            <c:invertIfNegative val="0"/>
            <c:bubble3D val="0"/>
            <c:spPr>
              <a:solidFill>
                <a:srgbClr val="CA9F78"/>
              </a:solidFill>
              <a:ln>
                <a:noFill/>
              </a:ln>
              <a:effectLst/>
            </c:spPr>
            <c:extLst>
              <c:ext xmlns:c16="http://schemas.microsoft.com/office/drawing/2014/chart" uri="{C3380CC4-5D6E-409C-BE32-E72D297353CC}">
                <c16:uniqueId val="{00000014-557C-4E8B-BB52-63F7B63F10CD}"/>
              </c:ext>
            </c:extLst>
          </c:dPt>
          <c:dPt>
            <c:idx val="4"/>
            <c:invertIfNegative val="0"/>
            <c:bubble3D val="0"/>
            <c:spPr>
              <a:solidFill>
                <a:srgbClr val="CA9F78"/>
              </a:solidFill>
              <a:ln>
                <a:noFill/>
              </a:ln>
              <a:effectLst/>
            </c:spPr>
            <c:extLst>
              <c:ext xmlns:c16="http://schemas.microsoft.com/office/drawing/2014/chart" uri="{C3380CC4-5D6E-409C-BE32-E72D297353CC}">
                <c16:uniqueId val="{00000015-557C-4E8B-BB52-63F7B63F10CD}"/>
              </c:ext>
            </c:extLst>
          </c:dPt>
          <c:dPt>
            <c:idx val="5"/>
            <c:invertIfNegative val="0"/>
            <c:bubble3D val="0"/>
            <c:extLst>
              <c:ext xmlns:c16="http://schemas.microsoft.com/office/drawing/2014/chart" uri="{C3380CC4-5D6E-409C-BE32-E72D297353CC}">
                <c16:uniqueId val="{00000002-557C-4E8B-BB52-63F7B63F10CD}"/>
              </c:ext>
            </c:extLst>
          </c:dPt>
          <c:dPt>
            <c:idx val="6"/>
            <c:invertIfNegative val="0"/>
            <c:bubble3D val="0"/>
            <c:extLst>
              <c:ext xmlns:c16="http://schemas.microsoft.com/office/drawing/2014/chart" uri="{C3380CC4-5D6E-409C-BE32-E72D297353CC}">
                <c16:uniqueId val="{00000003-557C-4E8B-BB52-63F7B63F10CD}"/>
              </c:ext>
            </c:extLst>
          </c:dPt>
          <c:dPt>
            <c:idx val="7"/>
            <c:invertIfNegative val="0"/>
            <c:bubble3D val="0"/>
            <c:extLst>
              <c:ext xmlns:c16="http://schemas.microsoft.com/office/drawing/2014/chart" uri="{C3380CC4-5D6E-409C-BE32-E72D297353CC}">
                <c16:uniqueId val="{00000004-557C-4E8B-BB52-63F7B63F10CD}"/>
              </c:ext>
            </c:extLst>
          </c:dPt>
          <c:dPt>
            <c:idx val="8"/>
            <c:invertIfNegative val="0"/>
            <c:bubble3D val="0"/>
            <c:extLst>
              <c:ext xmlns:c16="http://schemas.microsoft.com/office/drawing/2014/chart" uri="{C3380CC4-5D6E-409C-BE32-E72D297353CC}">
                <c16:uniqueId val="{00000005-557C-4E8B-BB52-63F7B63F10CD}"/>
              </c:ext>
            </c:extLst>
          </c:dPt>
          <c:dPt>
            <c:idx val="9"/>
            <c:invertIfNegative val="0"/>
            <c:bubble3D val="0"/>
            <c:extLst>
              <c:ext xmlns:c16="http://schemas.microsoft.com/office/drawing/2014/chart" uri="{C3380CC4-5D6E-409C-BE32-E72D297353CC}">
                <c16:uniqueId val="{00000006-557C-4E8B-BB52-63F7B63F10CD}"/>
              </c:ext>
            </c:extLst>
          </c:dPt>
          <c:dPt>
            <c:idx val="10"/>
            <c:invertIfNegative val="0"/>
            <c:bubble3D val="0"/>
            <c:extLst>
              <c:ext xmlns:c16="http://schemas.microsoft.com/office/drawing/2014/chart" uri="{C3380CC4-5D6E-409C-BE32-E72D297353CC}">
                <c16:uniqueId val="{00000007-557C-4E8B-BB52-63F7B63F10CD}"/>
              </c:ext>
            </c:extLst>
          </c:dPt>
          <c:dPt>
            <c:idx val="11"/>
            <c:invertIfNegative val="0"/>
            <c:bubble3D val="0"/>
            <c:extLst>
              <c:ext xmlns:c16="http://schemas.microsoft.com/office/drawing/2014/chart" uri="{C3380CC4-5D6E-409C-BE32-E72D297353CC}">
                <c16:uniqueId val="{00000008-557C-4E8B-BB52-63F7B63F10CD}"/>
              </c:ext>
            </c:extLst>
          </c:dPt>
          <c:dPt>
            <c:idx val="12"/>
            <c:invertIfNegative val="0"/>
            <c:bubble3D val="0"/>
            <c:extLst>
              <c:ext xmlns:c16="http://schemas.microsoft.com/office/drawing/2014/chart" uri="{C3380CC4-5D6E-409C-BE32-E72D297353CC}">
                <c16:uniqueId val="{00000009-557C-4E8B-BB52-63F7B63F10CD}"/>
              </c:ext>
            </c:extLst>
          </c:dPt>
          <c:dPt>
            <c:idx val="13"/>
            <c:invertIfNegative val="0"/>
            <c:bubble3D val="0"/>
            <c:extLst>
              <c:ext xmlns:c16="http://schemas.microsoft.com/office/drawing/2014/chart" uri="{C3380CC4-5D6E-409C-BE32-E72D297353CC}">
                <c16:uniqueId val="{0000000A-557C-4E8B-BB52-63F7B63F10CD}"/>
              </c:ext>
            </c:extLst>
          </c:dPt>
          <c:dPt>
            <c:idx val="14"/>
            <c:invertIfNegative val="0"/>
            <c:bubble3D val="0"/>
            <c:extLst>
              <c:ext xmlns:c16="http://schemas.microsoft.com/office/drawing/2014/chart" uri="{C3380CC4-5D6E-409C-BE32-E72D297353CC}">
                <c16:uniqueId val="{0000000B-557C-4E8B-BB52-63F7B63F10CD}"/>
              </c:ext>
            </c:extLst>
          </c:dPt>
          <c:dPt>
            <c:idx val="15"/>
            <c:invertIfNegative val="0"/>
            <c:bubble3D val="0"/>
            <c:extLst>
              <c:ext xmlns:c16="http://schemas.microsoft.com/office/drawing/2014/chart" uri="{C3380CC4-5D6E-409C-BE32-E72D297353CC}">
                <c16:uniqueId val="{0000000C-557C-4E8B-BB52-63F7B63F10CD}"/>
              </c:ext>
            </c:extLst>
          </c:dPt>
          <c:dPt>
            <c:idx val="16"/>
            <c:invertIfNegative val="0"/>
            <c:bubble3D val="0"/>
            <c:extLst>
              <c:ext xmlns:c16="http://schemas.microsoft.com/office/drawing/2014/chart" uri="{C3380CC4-5D6E-409C-BE32-E72D297353CC}">
                <c16:uniqueId val="{0000000D-557C-4E8B-BB52-63F7B63F10CD}"/>
              </c:ext>
            </c:extLst>
          </c:dPt>
          <c:dPt>
            <c:idx val="17"/>
            <c:invertIfNegative val="0"/>
            <c:bubble3D val="0"/>
            <c:extLst>
              <c:ext xmlns:c16="http://schemas.microsoft.com/office/drawing/2014/chart" uri="{C3380CC4-5D6E-409C-BE32-E72D297353CC}">
                <c16:uniqueId val="{0000000E-557C-4E8B-BB52-63F7B63F10CD}"/>
              </c:ext>
            </c:extLst>
          </c:dPt>
          <c:dPt>
            <c:idx val="18"/>
            <c:invertIfNegative val="0"/>
            <c:bubble3D val="0"/>
            <c:extLst>
              <c:ext xmlns:c16="http://schemas.microsoft.com/office/drawing/2014/chart" uri="{C3380CC4-5D6E-409C-BE32-E72D297353CC}">
                <c16:uniqueId val="{0000000F-557C-4E8B-BB52-63F7B63F10CD}"/>
              </c:ext>
            </c:extLst>
          </c:dPt>
          <c:dPt>
            <c:idx val="19"/>
            <c:invertIfNegative val="0"/>
            <c:bubble3D val="0"/>
            <c:extLst>
              <c:ext xmlns:c16="http://schemas.microsoft.com/office/drawing/2014/chart" uri="{C3380CC4-5D6E-409C-BE32-E72D297353CC}">
                <c16:uniqueId val="{00000010-557C-4E8B-BB52-63F7B63F10CD}"/>
              </c:ext>
            </c:extLst>
          </c:dPt>
          <c:cat>
            <c:strRef>
              <c:f>Pivot_tables.xlsx!$A$127:$A$132</c:f>
              <c:strCache>
                <c:ptCount val="5"/>
                <c:pt idx="0">
                  <c:v>18-24</c:v>
                </c:pt>
                <c:pt idx="1">
                  <c:v>25-34</c:v>
                </c:pt>
                <c:pt idx="2">
                  <c:v>35-44</c:v>
                </c:pt>
                <c:pt idx="3">
                  <c:v>45-54</c:v>
                </c:pt>
                <c:pt idx="4">
                  <c:v>55+</c:v>
                </c:pt>
              </c:strCache>
            </c:strRef>
          </c:cat>
          <c:val>
            <c:numRef>
              <c:f>Pivot_tables.xlsx!$B$127:$B$132</c:f>
              <c:numCache>
                <c:formatCode>General</c:formatCode>
                <c:ptCount val="5"/>
                <c:pt idx="0">
                  <c:v>59</c:v>
                </c:pt>
                <c:pt idx="1">
                  <c:v>78</c:v>
                </c:pt>
                <c:pt idx="2">
                  <c:v>54</c:v>
                </c:pt>
                <c:pt idx="3">
                  <c:v>32</c:v>
                </c:pt>
                <c:pt idx="4">
                  <c:v>23</c:v>
                </c:pt>
              </c:numCache>
            </c:numRef>
          </c:val>
          <c:extLst>
            <c:ext xmlns:c16="http://schemas.microsoft.com/office/drawing/2014/chart" uri="{C3380CC4-5D6E-409C-BE32-E72D297353CC}">
              <c16:uniqueId val="{00000000-557C-4E8B-BB52-63F7B63F10CD}"/>
            </c:ext>
          </c:extLst>
        </c:ser>
        <c:ser>
          <c:idx val="1"/>
          <c:order val="1"/>
          <c:tx>
            <c:strRef>
              <c:f>Pivot_tables.xlsx!$C$125:$C$126</c:f>
              <c:strCache>
                <c:ptCount val="1"/>
                <c:pt idx="0">
                  <c:v>regular</c:v>
                </c:pt>
              </c:strCache>
            </c:strRef>
          </c:tx>
          <c:spPr>
            <a:solidFill>
              <a:srgbClr val="9F6D3F"/>
            </a:solidFill>
            <a:ln>
              <a:noFill/>
            </a:ln>
            <a:effectLst/>
          </c:spPr>
          <c:invertIfNegative val="0"/>
          <c:dPt>
            <c:idx val="0"/>
            <c:invertIfNegative val="0"/>
            <c:bubble3D val="0"/>
            <c:spPr>
              <a:solidFill>
                <a:srgbClr val="9F6D3F"/>
              </a:solidFill>
              <a:ln>
                <a:noFill/>
              </a:ln>
              <a:effectLst/>
            </c:spPr>
            <c:extLst>
              <c:ext xmlns:c16="http://schemas.microsoft.com/office/drawing/2014/chart" uri="{C3380CC4-5D6E-409C-BE32-E72D297353CC}">
                <c16:uniqueId val="{0000001A-BD5E-43D8-9D1C-5A32BABC5DAB}"/>
              </c:ext>
            </c:extLst>
          </c:dPt>
          <c:dPt>
            <c:idx val="1"/>
            <c:invertIfNegative val="0"/>
            <c:bubble3D val="0"/>
            <c:spPr>
              <a:solidFill>
                <a:srgbClr val="9F6D3F"/>
              </a:solidFill>
              <a:ln>
                <a:noFill/>
              </a:ln>
              <a:effectLst/>
            </c:spPr>
            <c:extLst>
              <c:ext xmlns:c16="http://schemas.microsoft.com/office/drawing/2014/chart" uri="{C3380CC4-5D6E-409C-BE32-E72D297353CC}">
                <c16:uniqueId val="{0000001C-BD5E-43D8-9D1C-5A32BABC5DAB}"/>
              </c:ext>
            </c:extLst>
          </c:dPt>
          <c:dPt>
            <c:idx val="2"/>
            <c:invertIfNegative val="0"/>
            <c:bubble3D val="0"/>
            <c:spPr>
              <a:solidFill>
                <a:srgbClr val="9F6D3F"/>
              </a:solidFill>
              <a:ln>
                <a:noFill/>
              </a:ln>
              <a:effectLst/>
            </c:spPr>
            <c:extLst>
              <c:ext xmlns:c16="http://schemas.microsoft.com/office/drawing/2014/chart" uri="{C3380CC4-5D6E-409C-BE32-E72D297353CC}">
                <c16:uniqueId val="{0000001E-BD5E-43D8-9D1C-5A32BABC5DAB}"/>
              </c:ext>
            </c:extLst>
          </c:dPt>
          <c:dPt>
            <c:idx val="3"/>
            <c:invertIfNegative val="0"/>
            <c:bubble3D val="0"/>
            <c:spPr>
              <a:solidFill>
                <a:srgbClr val="9F6D3F"/>
              </a:solidFill>
              <a:ln>
                <a:noFill/>
              </a:ln>
              <a:effectLst/>
            </c:spPr>
            <c:extLst>
              <c:ext xmlns:c16="http://schemas.microsoft.com/office/drawing/2014/chart" uri="{C3380CC4-5D6E-409C-BE32-E72D297353CC}">
                <c16:uniqueId val="{00000020-BD5E-43D8-9D1C-5A32BABC5DAB}"/>
              </c:ext>
            </c:extLst>
          </c:dPt>
          <c:dPt>
            <c:idx val="4"/>
            <c:invertIfNegative val="0"/>
            <c:bubble3D val="0"/>
            <c:spPr>
              <a:solidFill>
                <a:srgbClr val="9F6D3F"/>
              </a:solidFill>
              <a:ln>
                <a:noFill/>
              </a:ln>
              <a:effectLst/>
            </c:spPr>
            <c:extLst>
              <c:ext xmlns:c16="http://schemas.microsoft.com/office/drawing/2014/chart" uri="{C3380CC4-5D6E-409C-BE32-E72D297353CC}">
                <c16:uniqueId val="{00000022-BD5E-43D8-9D1C-5A32BABC5DAB}"/>
              </c:ext>
            </c:extLst>
          </c:dPt>
          <c:cat>
            <c:strRef>
              <c:f>Pivot_tables.xlsx!$A$127:$A$132</c:f>
              <c:strCache>
                <c:ptCount val="5"/>
                <c:pt idx="0">
                  <c:v>18-24</c:v>
                </c:pt>
                <c:pt idx="1">
                  <c:v>25-34</c:v>
                </c:pt>
                <c:pt idx="2">
                  <c:v>35-44</c:v>
                </c:pt>
                <c:pt idx="3">
                  <c:v>45-54</c:v>
                </c:pt>
                <c:pt idx="4">
                  <c:v>55+</c:v>
                </c:pt>
              </c:strCache>
            </c:strRef>
          </c:cat>
          <c:val>
            <c:numRef>
              <c:f>Pivot_tables.xlsx!$C$127:$C$132</c:f>
              <c:numCache>
                <c:formatCode>General</c:formatCode>
                <c:ptCount val="5"/>
                <c:pt idx="0">
                  <c:v>74</c:v>
                </c:pt>
                <c:pt idx="1">
                  <c:v>72</c:v>
                </c:pt>
                <c:pt idx="2">
                  <c:v>57</c:v>
                </c:pt>
                <c:pt idx="3">
                  <c:v>36</c:v>
                </c:pt>
                <c:pt idx="4">
                  <c:v>18</c:v>
                </c:pt>
              </c:numCache>
            </c:numRef>
          </c:val>
          <c:extLst>
            <c:ext xmlns:c16="http://schemas.microsoft.com/office/drawing/2014/chart" uri="{C3380CC4-5D6E-409C-BE32-E72D297353CC}">
              <c16:uniqueId val="{0000003C-0525-41BC-898A-BAE043754418}"/>
            </c:ext>
          </c:extLst>
        </c:ser>
        <c:ser>
          <c:idx val="2"/>
          <c:order val="2"/>
          <c:tx>
            <c:strRef>
              <c:f>Pivot_tables.xlsx!$D$125:$D$126</c:f>
              <c:strCache>
                <c:ptCount val="1"/>
                <c:pt idx="0">
                  <c:v>sugar-free</c:v>
                </c:pt>
              </c:strCache>
            </c:strRef>
          </c:tx>
          <c:spPr>
            <a:solidFill>
              <a:srgbClr val="86A653"/>
            </a:solidFill>
            <a:ln>
              <a:noFill/>
            </a:ln>
            <a:effectLst/>
          </c:spPr>
          <c:invertIfNegative val="0"/>
          <c:dPt>
            <c:idx val="0"/>
            <c:invertIfNegative val="0"/>
            <c:bubble3D val="0"/>
            <c:spPr>
              <a:solidFill>
                <a:srgbClr val="86A653"/>
              </a:solidFill>
              <a:ln>
                <a:noFill/>
              </a:ln>
              <a:effectLst/>
            </c:spPr>
            <c:extLst>
              <c:ext xmlns:c16="http://schemas.microsoft.com/office/drawing/2014/chart" uri="{C3380CC4-5D6E-409C-BE32-E72D297353CC}">
                <c16:uniqueId val="{00000024-BD5E-43D8-9D1C-5A32BABC5DAB}"/>
              </c:ext>
            </c:extLst>
          </c:dPt>
          <c:dPt>
            <c:idx val="1"/>
            <c:invertIfNegative val="0"/>
            <c:bubble3D val="0"/>
            <c:spPr>
              <a:solidFill>
                <a:srgbClr val="86A653"/>
              </a:solidFill>
              <a:ln>
                <a:noFill/>
              </a:ln>
              <a:effectLst/>
            </c:spPr>
            <c:extLst>
              <c:ext xmlns:c16="http://schemas.microsoft.com/office/drawing/2014/chart" uri="{C3380CC4-5D6E-409C-BE32-E72D297353CC}">
                <c16:uniqueId val="{00000026-BD5E-43D8-9D1C-5A32BABC5DAB}"/>
              </c:ext>
            </c:extLst>
          </c:dPt>
          <c:dPt>
            <c:idx val="2"/>
            <c:invertIfNegative val="0"/>
            <c:bubble3D val="0"/>
            <c:spPr>
              <a:solidFill>
                <a:srgbClr val="86A653"/>
              </a:solidFill>
              <a:ln>
                <a:noFill/>
              </a:ln>
              <a:effectLst/>
            </c:spPr>
            <c:extLst>
              <c:ext xmlns:c16="http://schemas.microsoft.com/office/drawing/2014/chart" uri="{C3380CC4-5D6E-409C-BE32-E72D297353CC}">
                <c16:uniqueId val="{00000028-BD5E-43D8-9D1C-5A32BABC5DAB}"/>
              </c:ext>
            </c:extLst>
          </c:dPt>
          <c:dPt>
            <c:idx val="3"/>
            <c:invertIfNegative val="0"/>
            <c:bubble3D val="0"/>
            <c:spPr>
              <a:solidFill>
                <a:srgbClr val="86A653"/>
              </a:solidFill>
              <a:ln>
                <a:noFill/>
              </a:ln>
              <a:effectLst/>
            </c:spPr>
            <c:extLst>
              <c:ext xmlns:c16="http://schemas.microsoft.com/office/drawing/2014/chart" uri="{C3380CC4-5D6E-409C-BE32-E72D297353CC}">
                <c16:uniqueId val="{0000002A-BD5E-43D8-9D1C-5A32BABC5DAB}"/>
              </c:ext>
            </c:extLst>
          </c:dPt>
          <c:dPt>
            <c:idx val="4"/>
            <c:invertIfNegative val="0"/>
            <c:bubble3D val="0"/>
            <c:spPr>
              <a:solidFill>
                <a:srgbClr val="86A653"/>
              </a:solidFill>
              <a:ln>
                <a:noFill/>
              </a:ln>
              <a:effectLst/>
            </c:spPr>
            <c:extLst>
              <c:ext xmlns:c16="http://schemas.microsoft.com/office/drawing/2014/chart" uri="{C3380CC4-5D6E-409C-BE32-E72D297353CC}">
                <c16:uniqueId val="{0000002C-BD5E-43D8-9D1C-5A32BABC5DAB}"/>
              </c:ext>
            </c:extLst>
          </c:dPt>
          <c:cat>
            <c:strRef>
              <c:f>Pivot_tables.xlsx!$A$127:$A$132</c:f>
              <c:strCache>
                <c:ptCount val="5"/>
                <c:pt idx="0">
                  <c:v>18-24</c:v>
                </c:pt>
                <c:pt idx="1">
                  <c:v>25-34</c:v>
                </c:pt>
                <c:pt idx="2">
                  <c:v>35-44</c:v>
                </c:pt>
                <c:pt idx="3">
                  <c:v>45-54</c:v>
                </c:pt>
                <c:pt idx="4">
                  <c:v>55+</c:v>
                </c:pt>
              </c:strCache>
            </c:strRef>
          </c:cat>
          <c:val>
            <c:numRef>
              <c:f>Pivot_tables.xlsx!$D$127:$D$132</c:f>
              <c:numCache>
                <c:formatCode>General</c:formatCode>
                <c:ptCount val="5"/>
                <c:pt idx="0">
                  <c:v>65</c:v>
                </c:pt>
                <c:pt idx="1">
                  <c:v>77</c:v>
                </c:pt>
                <c:pt idx="2">
                  <c:v>54</c:v>
                </c:pt>
                <c:pt idx="3">
                  <c:v>47</c:v>
                </c:pt>
                <c:pt idx="4">
                  <c:v>18</c:v>
                </c:pt>
              </c:numCache>
            </c:numRef>
          </c:val>
          <c:extLst>
            <c:ext xmlns:c16="http://schemas.microsoft.com/office/drawing/2014/chart" uri="{C3380CC4-5D6E-409C-BE32-E72D297353CC}">
              <c16:uniqueId val="{0000003D-0525-41BC-898A-BAE043754418}"/>
            </c:ext>
          </c:extLst>
        </c:ser>
        <c:ser>
          <c:idx val="3"/>
          <c:order val="3"/>
          <c:tx>
            <c:strRef>
              <c:f>Pivot_tables.xlsx!$E$125:$E$126</c:f>
              <c:strCache>
                <c:ptCount val="1"/>
                <c:pt idx="0">
                  <c:v>vegan</c:v>
                </c:pt>
              </c:strCache>
            </c:strRef>
          </c:tx>
          <c:spPr>
            <a:solidFill>
              <a:srgbClr val="A5D6A7"/>
            </a:solidFill>
            <a:ln>
              <a:noFill/>
            </a:ln>
            <a:effectLst/>
          </c:spPr>
          <c:invertIfNegative val="0"/>
          <c:dPt>
            <c:idx val="0"/>
            <c:invertIfNegative val="0"/>
            <c:bubble3D val="0"/>
            <c:spPr>
              <a:solidFill>
                <a:srgbClr val="A5D6A7"/>
              </a:solidFill>
              <a:ln>
                <a:noFill/>
              </a:ln>
              <a:effectLst/>
            </c:spPr>
          </c:dPt>
          <c:dPt>
            <c:idx val="1"/>
            <c:invertIfNegative val="0"/>
            <c:bubble3D val="0"/>
            <c:spPr>
              <a:solidFill>
                <a:srgbClr val="A5D6A7"/>
              </a:solidFill>
              <a:ln>
                <a:noFill/>
              </a:ln>
              <a:effectLst/>
            </c:spPr>
          </c:dPt>
          <c:dPt>
            <c:idx val="2"/>
            <c:invertIfNegative val="0"/>
            <c:bubble3D val="0"/>
            <c:spPr>
              <a:solidFill>
                <a:srgbClr val="A5D6A7"/>
              </a:solidFill>
              <a:ln>
                <a:noFill/>
              </a:ln>
              <a:effectLst/>
            </c:spPr>
          </c:dPt>
          <c:dPt>
            <c:idx val="3"/>
            <c:invertIfNegative val="0"/>
            <c:bubble3D val="0"/>
            <c:spPr>
              <a:solidFill>
                <a:srgbClr val="A5D6A7"/>
              </a:solidFill>
              <a:ln>
                <a:noFill/>
              </a:ln>
              <a:effectLst/>
            </c:spPr>
          </c:dPt>
          <c:dPt>
            <c:idx val="4"/>
            <c:invertIfNegative val="0"/>
            <c:bubble3D val="0"/>
            <c:spPr>
              <a:solidFill>
                <a:srgbClr val="A5D6A7"/>
              </a:solidFill>
              <a:ln>
                <a:noFill/>
              </a:ln>
              <a:effectLst/>
            </c:spPr>
          </c:dPt>
          <c:cat>
            <c:strRef>
              <c:f>Pivot_tables.xlsx!$A$127:$A$132</c:f>
              <c:strCache>
                <c:ptCount val="5"/>
                <c:pt idx="0">
                  <c:v>18-24</c:v>
                </c:pt>
                <c:pt idx="1">
                  <c:v>25-34</c:v>
                </c:pt>
                <c:pt idx="2">
                  <c:v>35-44</c:v>
                </c:pt>
                <c:pt idx="3">
                  <c:v>45-54</c:v>
                </c:pt>
                <c:pt idx="4">
                  <c:v>55+</c:v>
                </c:pt>
              </c:strCache>
            </c:strRef>
          </c:cat>
          <c:val>
            <c:numRef>
              <c:f>Pivot_tables.xlsx!$E$127:$E$132</c:f>
              <c:numCache>
                <c:formatCode>General</c:formatCode>
                <c:ptCount val="5"/>
                <c:pt idx="0">
                  <c:v>65</c:v>
                </c:pt>
                <c:pt idx="1">
                  <c:v>61</c:v>
                </c:pt>
                <c:pt idx="2">
                  <c:v>46</c:v>
                </c:pt>
                <c:pt idx="3">
                  <c:v>35</c:v>
                </c:pt>
                <c:pt idx="4">
                  <c:v>29</c:v>
                </c:pt>
              </c:numCache>
            </c:numRef>
          </c:val>
          <c:extLst>
            <c:ext xmlns:c16="http://schemas.microsoft.com/office/drawing/2014/chart" uri="{C3380CC4-5D6E-409C-BE32-E72D297353CC}">
              <c16:uniqueId val="{00000038-A354-41CD-9FF8-19A3FFF50FBC}"/>
            </c:ext>
          </c:extLst>
        </c:ser>
        <c:dLbls>
          <c:showLegendKey val="0"/>
          <c:showVal val="0"/>
          <c:showCatName val="0"/>
          <c:showSerName val="0"/>
          <c:showPercent val="0"/>
          <c:showBubbleSize val="0"/>
        </c:dLbls>
        <c:gapWidth val="200"/>
        <c:overlap val="-35"/>
        <c:axId val="400865152"/>
        <c:axId val="400866816"/>
      </c:barChart>
      <c:catAx>
        <c:axId val="400865152"/>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wrap="square" anchor="ctr" anchorCtr="0"/>
          <a:lstStyle/>
          <a:p>
            <a:pPr>
              <a:defRPr sz="1400" b="0" i="0" u="none" strike="noStrike" kern="1200" baseline="0">
                <a:solidFill>
                  <a:schemeClr val="tx1">
                    <a:lumMod val="65000"/>
                    <a:lumOff val="35000"/>
                  </a:schemeClr>
                </a:solidFill>
                <a:latin typeface="+mn-lt"/>
                <a:ea typeface="+mn-ea"/>
                <a:cs typeface="+mn-cs"/>
              </a:defRPr>
            </a:pPr>
            <a:endParaRPr lang="en-US"/>
          </a:p>
        </c:txPr>
        <c:crossAx val="400866816"/>
        <c:crosses val="autoZero"/>
        <c:auto val="1"/>
        <c:lblAlgn val="ctr"/>
        <c:lblOffset val="50"/>
        <c:noMultiLvlLbl val="0"/>
      </c:catAx>
      <c:valAx>
        <c:axId val="400866816"/>
        <c:scaling>
          <c:orientation val="minMax"/>
        </c:scaling>
        <c:delete val="1"/>
        <c:axPos val="l"/>
        <c:numFmt formatCode="General" sourceLinked="1"/>
        <c:majorTickMark val="none"/>
        <c:minorTickMark val="none"/>
        <c:tickLblPos val="nextTo"/>
        <c:crossAx val="40086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Favourite Coffee Type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5748828413973"/>
          <c:y val="0.17901288255527464"/>
          <c:w val="0.86684251171586024"/>
          <c:h val="0.77407491110355175"/>
        </c:manualLayout>
      </c:layout>
      <c:barChart>
        <c:barDir val="bar"/>
        <c:grouping val="clustered"/>
        <c:varyColors val="0"/>
        <c:ser>
          <c:idx val="0"/>
          <c:order val="0"/>
          <c:spPr>
            <a:solidFill>
              <a:srgbClr val="4472C4"/>
            </a:solidFill>
            <a:ln>
              <a:noFill/>
            </a:ln>
            <a:effectLst/>
          </c:spPr>
          <c:invertIfNegative val="1"/>
          <c:cat>
            <c:strRef>
              <c:f>Pivot_tables.xlsx!$D$46:$D$53</c:f>
              <c:strCache>
                <c:ptCount val="8"/>
                <c:pt idx="0">
                  <c:v>Filter Coffee</c:v>
                </c:pt>
                <c:pt idx="1">
                  <c:v>Cold Brew</c:v>
                </c:pt>
                <c:pt idx="2">
                  <c:v>Mocha</c:v>
                </c:pt>
                <c:pt idx="3">
                  <c:v>Espresso</c:v>
                </c:pt>
                <c:pt idx="4">
                  <c:v>Latte</c:v>
                </c:pt>
                <c:pt idx="5">
                  <c:v>Americano</c:v>
                </c:pt>
                <c:pt idx="6">
                  <c:v>Instant Coffee</c:v>
                </c:pt>
                <c:pt idx="7">
                  <c:v>Cappuccino</c:v>
                </c:pt>
              </c:strCache>
            </c:strRef>
          </c:cat>
          <c:val>
            <c:numRef>
              <c:f>Pivot_tables.xlsx!$E$46:$E$53</c:f>
              <c:numCache>
                <c:formatCode>General</c:formatCode>
                <c:ptCount val="8"/>
                <c:pt idx="0">
                  <c:v>211</c:v>
                </c:pt>
                <c:pt idx="1">
                  <c:v>186</c:v>
                </c:pt>
                <c:pt idx="2">
                  <c:v>103</c:v>
                </c:pt>
                <c:pt idx="3">
                  <c:v>103</c:v>
                </c:pt>
                <c:pt idx="4">
                  <c:v>102</c:v>
                </c:pt>
                <c:pt idx="5">
                  <c:v>100</c:v>
                </c:pt>
                <c:pt idx="6">
                  <c:v>99</c:v>
                </c:pt>
                <c:pt idx="7">
                  <c:v>96</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5B6D-4524-80EF-B6F995577A61}"/>
            </c:ext>
          </c:extLst>
        </c:ser>
        <c:ser>
          <c:idx val="1"/>
          <c:order val="1"/>
          <c:spPr>
            <a:solidFill>
              <a:schemeClr val="accent2"/>
            </a:solidFill>
            <a:ln>
              <a:noFill/>
            </a:ln>
            <a:effectLst/>
          </c:spPr>
          <c:invertIfNegative val="0"/>
          <c:cat>
            <c:strRef>
              <c:f>Pivot_tables.xlsx!$D$46:$D$53</c:f>
              <c:strCache>
                <c:ptCount val="8"/>
                <c:pt idx="0">
                  <c:v>Filter Coffee</c:v>
                </c:pt>
                <c:pt idx="1">
                  <c:v>Cold Brew</c:v>
                </c:pt>
                <c:pt idx="2">
                  <c:v>Mocha</c:v>
                </c:pt>
                <c:pt idx="3">
                  <c:v>Espresso</c:v>
                </c:pt>
                <c:pt idx="4">
                  <c:v>Latte</c:v>
                </c:pt>
                <c:pt idx="5">
                  <c:v>Americano</c:v>
                </c:pt>
                <c:pt idx="6">
                  <c:v>Instant Coffee</c:v>
                </c:pt>
                <c:pt idx="7">
                  <c:v>Cappuccino</c:v>
                </c:pt>
              </c:strCache>
            </c:strRef>
          </c:cat>
          <c:val>
            <c:numRef>
              <c:f>Pivot_tables.xlsx!$F$46:$F$53</c:f>
              <c:numCache>
                <c:formatCode>General</c:formatCode>
                <c:ptCount val="8"/>
                <c:pt idx="0">
                  <c:v>1</c:v>
                </c:pt>
                <c:pt idx="1">
                  <c:v>2</c:v>
                </c:pt>
                <c:pt idx="2">
                  <c:v>3</c:v>
                </c:pt>
                <c:pt idx="3">
                  <c:v>3</c:v>
                </c:pt>
                <c:pt idx="4">
                  <c:v>5</c:v>
                </c:pt>
                <c:pt idx="5">
                  <c:v>6</c:v>
                </c:pt>
                <c:pt idx="6">
                  <c:v>7</c:v>
                </c:pt>
                <c:pt idx="7">
                  <c:v>8</c:v>
                </c:pt>
              </c:numCache>
            </c:numRef>
          </c:val>
          <c:extLst>
            <c:ext xmlns:c16="http://schemas.microsoft.com/office/drawing/2014/chart" uri="{C3380CC4-5D6E-409C-BE32-E72D297353CC}">
              <c16:uniqueId val="{00000001-5B6D-4524-80EF-B6F995577A61}"/>
            </c:ext>
          </c:extLst>
        </c:ser>
        <c:ser>
          <c:idx val="2"/>
          <c:order val="2"/>
          <c:spPr>
            <a:solidFill>
              <a:schemeClr val="accent3"/>
            </a:solidFill>
            <a:ln>
              <a:solidFill>
                <a:schemeClr val="accent1">
                  <a:alpha val="92000"/>
                </a:schemeClr>
              </a:solidFill>
            </a:ln>
            <a:effectLst/>
          </c:spPr>
          <c:invertIfNegative val="0"/>
          <c:dPt>
            <c:idx val="0"/>
            <c:invertIfNegative val="0"/>
            <c:bubble3D val="0"/>
            <c:spPr>
              <a:solidFill>
                <a:srgbClr val="843C0C"/>
              </a:solidFill>
              <a:ln>
                <a:solidFill>
                  <a:schemeClr val="accent1">
                    <a:alpha val="92000"/>
                  </a:schemeClr>
                </a:solidFill>
              </a:ln>
              <a:effectLst/>
            </c:spPr>
            <c:extLst>
              <c:ext xmlns:c16="http://schemas.microsoft.com/office/drawing/2014/chart" uri="{C3380CC4-5D6E-409C-BE32-E72D297353CC}">
                <c16:uniqueId val="{00000001-CBF2-4C29-AD42-4385B08FF7CE}"/>
              </c:ext>
            </c:extLst>
          </c:dPt>
          <c:cat>
            <c:strRef>
              <c:f>Pivot_tables.xlsx!$D$46:$D$53</c:f>
              <c:strCache>
                <c:ptCount val="8"/>
                <c:pt idx="0">
                  <c:v>Filter Coffee</c:v>
                </c:pt>
                <c:pt idx="1">
                  <c:v>Cold Brew</c:v>
                </c:pt>
                <c:pt idx="2">
                  <c:v>Mocha</c:v>
                </c:pt>
                <c:pt idx="3">
                  <c:v>Espresso</c:v>
                </c:pt>
                <c:pt idx="4">
                  <c:v>Latte</c:v>
                </c:pt>
                <c:pt idx="5">
                  <c:v>Americano</c:v>
                </c:pt>
                <c:pt idx="6">
                  <c:v>Instant Coffee</c:v>
                </c:pt>
                <c:pt idx="7">
                  <c:v>Cappuccino</c:v>
                </c:pt>
              </c:strCache>
            </c:strRef>
          </c:cat>
          <c:val>
            <c:numRef>
              <c:f>Pivot_tables.xlsx!$G$46:$G$53</c:f>
              <c:numCache>
                <c:formatCode>General</c:formatCode>
                <c:ptCount val="8"/>
                <c:pt idx="0">
                  <c:v>211</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2-5B6D-4524-80EF-B6F995577A61}"/>
            </c:ext>
          </c:extLst>
        </c:ser>
        <c:ser>
          <c:idx val="3"/>
          <c:order val="3"/>
          <c:spPr>
            <a:solidFill>
              <a:srgbClr val="843C0C"/>
            </a:solidFill>
            <a:ln>
              <a:noFill/>
            </a:ln>
            <a:effectLst/>
          </c:spPr>
          <c:invertIfNegative val="0"/>
          <c:cat>
            <c:strRef>
              <c:f>Pivot_tables.xlsx!$D$46:$D$53</c:f>
              <c:strCache>
                <c:ptCount val="8"/>
                <c:pt idx="0">
                  <c:v>Filter Coffee</c:v>
                </c:pt>
                <c:pt idx="1">
                  <c:v>Cold Brew</c:v>
                </c:pt>
                <c:pt idx="2">
                  <c:v>Mocha</c:v>
                </c:pt>
                <c:pt idx="3">
                  <c:v>Espresso</c:v>
                </c:pt>
                <c:pt idx="4">
                  <c:v>Latte</c:v>
                </c:pt>
                <c:pt idx="5">
                  <c:v>Americano</c:v>
                </c:pt>
                <c:pt idx="6">
                  <c:v>Instant Coffee</c:v>
                </c:pt>
                <c:pt idx="7">
                  <c:v>Cappuccino</c:v>
                </c:pt>
              </c:strCache>
            </c:strRef>
          </c:cat>
          <c:val>
            <c:numRef>
              <c:f>Pivot_tables.xlsx!$H$46:$H$53</c:f>
              <c:numCache>
                <c:formatCode>General</c:formatCode>
                <c:ptCount val="8"/>
                <c:pt idx="0">
                  <c:v>#N/A</c:v>
                </c:pt>
                <c:pt idx="1">
                  <c:v>186</c:v>
                </c:pt>
                <c:pt idx="2">
                  <c:v>#N/A</c:v>
                </c:pt>
                <c:pt idx="3">
                  <c:v>#N/A</c:v>
                </c:pt>
                <c:pt idx="4">
                  <c:v>#N/A</c:v>
                </c:pt>
                <c:pt idx="5">
                  <c:v>#N/A</c:v>
                </c:pt>
                <c:pt idx="6">
                  <c:v>#N/A</c:v>
                </c:pt>
                <c:pt idx="7">
                  <c:v>#N/A</c:v>
                </c:pt>
              </c:numCache>
            </c:numRef>
          </c:val>
          <c:extLst>
            <c:ext xmlns:c16="http://schemas.microsoft.com/office/drawing/2014/chart" uri="{C3380CC4-5D6E-409C-BE32-E72D297353CC}">
              <c16:uniqueId val="{00000003-5B6D-4524-80EF-B6F995577A61}"/>
            </c:ext>
          </c:extLst>
        </c:ser>
        <c:ser>
          <c:idx val="4"/>
          <c:order val="4"/>
          <c:spPr>
            <a:solidFill>
              <a:srgbClr val="843C0C"/>
            </a:solidFill>
            <a:ln>
              <a:noFill/>
            </a:ln>
            <a:effectLst/>
          </c:spPr>
          <c:invertIfNegative val="0"/>
          <c:cat>
            <c:strRef>
              <c:f>Pivot_tables.xlsx!$D$46:$D$53</c:f>
              <c:strCache>
                <c:ptCount val="8"/>
                <c:pt idx="0">
                  <c:v>Filter Coffee</c:v>
                </c:pt>
                <c:pt idx="1">
                  <c:v>Cold Brew</c:v>
                </c:pt>
                <c:pt idx="2">
                  <c:v>Mocha</c:v>
                </c:pt>
                <c:pt idx="3">
                  <c:v>Espresso</c:v>
                </c:pt>
                <c:pt idx="4">
                  <c:v>Latte</c:v>
                </c:pt>
                <c:pt idx="5">
                  <c:v>Americano</c:v>
                </c:pt>
                <c:pt idx="6">
                  <c:v>Instant Coffee</c:v>
                </c:pt>
                <c:pt idx="7">
                  <c:v>Cappuccino</c:v>
                </c:pt>
              </c:strCache>
            </c:strRef>
          </c:cat>
          <c:val>
            <c:numRef>
              <c:f>Pivot_tables.xlsx!$I$46:$I$53</c:f>
              <c:numCache>
                <c:formatCode>General</c:formatCode>
                <c:ptCount val="8"/>
                <c:pt idx="0">
                  <c:v>#N/A</c:v>
                </c:pt>
                <c:pt idx="1">
                  <c:v>#N/A</c:v>
                </c:pt>
                <c:pt idx="2">
                  <c:v>103</c:v>
                </c:pt>
                <c:pt idx="3">
                  <c:v>103</c:v>
                </c:pt>
                <c:pt idx="4">
                  <c:v>#N/A</c:v>
                </c:pt>
                <c:pt idx="5">
                  <c:v>#N/A</c:v>
                </c:pt>
                <c:pt idx="6">
                  <c:v>#N/A</c:v>
                </c:pt>
                <c:pt idx="7">
                  <c:v>#N/A</c:v>
                </c:pt>
              </c:numCache>
            </c:numRef>
          </c:val>
          <c:extLst>
            <c:ext xmlns:c16="http://schemas.microsoft.com/office/drawing/2014/chart" uri="{C3380CC4-5D6E-409C-BE32-E72D297353CC}">
              <c16:uniqueId val="{00000004-5B6D-4524-80EF-B6F995577A61}"/>
            </c:ext>
          </c:extLst>
        </c:ser>
        <c:ser>
          <c:idx val="5"/>
          <c:order val="5"/>
          <c:spPr>
            <a:solidFill>
              <a:schemeClr val="accent6"/>
            </a:solidFill>
            <a:ln>
              <a:noFill/>
            </a:ln>
            <a:effectLst/>
          </c:spPr>
          <c:invertIfNegative val="0"/>
          <c:cat>
            <c:strRef>
              <c:f>Pivot_tables.xlsx!$D$46:$D$53</c:f>
              <c:strCache>
                <c:ptCount val="8"/>
                <c:pt idx="0">
                  <c:v>Filter Coffee</c:v>
                </c:pt>
                <c:pt idx="1">
                  <c:v>Cold Brew</c:v>
                </c:pt>
                <c:pt idx="2">
                  <c:v>Mocha</c:v>
                </c:pt>
                <c:pt idx="3">
                  <c:v>Espresso</c:v>
                </c:pt>
                <c:pt idx="4">
                  <c:v>Latte</c:v>
                </c:pt>
                <c:pt idx="5">
                  <c:v>Americano</c:v>
                </c:pt>
                <c:pt idx="6">
                  <c:v>Instant Coffee</c:v>
                </c:pt>
                <c:pt idx="7">
                  <c:v>Cappuccino</c:v>
                </c:pt>
              </c:strCache>
            </c:strRef>
          </c:cat>
          <c:val>
            <c:numRef>
              <c:f>Pivot_tables.xlsx!$J$46:$J$53</c:f>
              <c:numCache>
                <c:formatCode>General</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5-5B6D-4524-80EF-B6F995577A61}"/>
            </c:ext>
          </c:extLst>
        </c:ser>
        <c:ser>
          <c:idx val="6"/>
          <c:order val="6"/>
          <c:spPr>
            <a:solidFill>
              <a:srgbClr val="B86950"/>
            </a:solidFill>
            <a:ln>
              <a:noFill/>
            </a:ln>
            <a:effectLst/>
          </c:spPr>
          <c:invertIfNegative val="0"/>
          <c:cat>
            <c:strRef>
              <c:f>Pivot_tables.xlsx!$D$46:$D$53</c:f>
              <c:strCache>
                <c:ptCount val="8"/>
                <c:pt idx="0">
                  <c:v>Filter Coffee</c:v>
                </c:pt>
                <c:pt idx="1">
                  <c:v>Cold Brew</c:v>
                </c:pt>
                <c:pt idx="2">
                  <c:v>Mocha</c:v>
                </c:pt>
                <c:pt idx="3">
                  <c:v>Espresso</c:v>
                </c:pt>
                <c:pt idx="4">
                  <c:v>Latte</c:v>
                </c:pt>
                <c:pt idx="5">
                  <c:v>Americano</c:v>
                </c:pt>
                <c:pt idx="6">
                  <c:v>Instant Coffee</c:v>
                </c:pt>
                <c:pt idx="7">
                  <c:v>Cappuccino</c:v>
                </c:pt>
              </c:strCache>
            </c:strRef>
          </c:cat>
          <c:val>
            <c:numRef>
              <c:f>Pivot_tables.xlsx!$K$46:$K$53</c:f>
              <c:numCache>
                <c:formatCode>General</c:formatCode>
                <c:ptCount val="8"/>
                <c:pt idx="0">
                  <c:v>#N/A</c:v>
                </c:pt>
                <c:pt idx="1">
                  <c:v>#N/A</c:v>
                </c:pt>
                <c:pt idx="2">
                  <c:v>#N/A</c:v>
                </c:pt>
                <c:pt idx="3">
                  <c:v>#N/A</c:v>
                </c:pt>
                <c:pt idx="4">
                  <c:v>102</c:v>
                </c:pt>
                <c:pt idx="5">
                  <c:v>100</c:v>
                </c:pt>
                <c:pt idx="6">
                  <c:v>99</c:v>
                </c:pt>
                <c:pt idx="7">
                  <c:v>96</c:v>
                </c:pt>
              </c:numCache>
            </c:numRef>
          </c:val>
          <c:extLst>
            <c:ext xmlns:c16="http://schemas.microsoft.com/office/drawing/2014/chart" uri="{C3380CC4-5D6E-409C-BE32-E72D297353CC}">
              <c16:uniqueId val="{00000006-5B6D-4524-80EF-B6F995577A61}"/>
            </c:ext>
          </c:extLst>
        </c:ser>
        <c:dLbls>
          <c:showLegendKey val="0"/>
          <c:showVal val="0"/>
          <c:showCatName val="0"/>
          <c:showSerName val="0"/>
          <c:showPercent val="0"/>
          <c:showBubbleSize val="0"/>
        </c:dLbls>
        <c:gapWidth val="100"/>
        <c:overlap val="100"/>
        <c:axId val="976155248"/>
        <c:axId val="976155664"/>
      </c:barChart>
      <c:catAx>
        <c:axId val="9761552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155664"/>
        <c:crosses val="autoZero"/>
        <c:auto val="1"/>
        <c:lblAlgn val="ctr"/>
        <c:lblOffset val="100"/>
        <c:noMultiLvlLbl val="0"/>
      </c:catAx>
      <c:valAx>
        <c:axId val="976155664"/>
        <c:scaling>
          <c:orientation val="minMax"/>
        </c:scaling>
        <c:delete val="1"/>
        <c:axPos val="t"/>
        <c:numFmt formatCode="General" sourceLinked="1"/>
        <c:majorTickMark val="none"/>
        <c:minorTickMark val="none"/>
        <c:tickLblPos val="nextTo"/>
        <c:crossAx val="97615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Dashboard.xlsx]Pivot_tables.xlsx!popular coffeebrand</c:name>
    <c:fmtId val="2"/>
  </c:pivotSource>
  <c:chart>
    <c:title>
      <c:tx>
        <c:rich>
          <a:bodyPr rot="0" spcFirstLastPara="1" vertOverflow="ellipsis" vert="horz" wrap="square" anchor="ctr" anchorCtr="1"/>
          <a:lstStyle/>
          <a:p>
            <a:pPr algn="ctr" rtl="0">
              <a:defRPr lang="en-US" sz="1600" b="0" i="0" u="none" strike="noStrike" kern="1200" spc="0" baseline="0">
                <a:solidFill>
                  <a:schemeClr val="bg2">
                    <a:lumMod val="25000"/>
                  </a:schemeClr>
                </a:solidFill>
                <a:effectLst/>
                <a:latin typeface="+mn-lt"/>
                <a:ea typeface="+mn-ea"/>
                <a:cs typeface="+mn-cs"/>
              </a:defRPr>
            </a:pPr>
            <a:r>
              <a:rPr lang="en-US" sz="1600" b="0" i="0" u="none" strike="noStrike" kern="1200" spc="0" baseline="0">
                <a:solidFill>
                  <a:schemeClr val="bg2">
                    <a:lumMod val="25000"/>
                  </a:schemeClr>
                </a:solidFill>
                <a:effectLst/>
                <a:latin typeface="+mn-lt"/>
                <a:ea typeface="+mn-ea"/>
                <a:cs typeface="+mn-cs"/>
              </a:rPr>
              <a:t>Popular Coffee Brands</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chemeClr val="bg2">
                  <a:lumMod val="2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7621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23628"/>
          </a:solidFill>
          <a:ln>
            <a:noFill/>
          </a:ln>
          <a:effectLst/>
        </c:spPr>
      </c:pivotFmt>
      <c:pivotFmt>
        <c:idx val="4"/>
        <c:spPr>
          <a:solidFill>
            <a:srgbClr val="623628"/>
          </a:solidFill>
          <a:ln>
            <a:noFill/>
          </a:ln>
          <a:effectLst/>
        </c:spPr>
      </c:pivotFmt>
      <c:pivotFmt>
        <c:idx val="5"/>
        <c:spPr>
          <a:solidFill>
            <a:srgbClr val="9B553F"/>
          </a:solidFill>
          <a:ln>
            <a:noFill/>
          </a:ln>
          <a:effectLst/>
        </c:spPr>
      </c:pivotFmt>
      <c:pivotFmt>
        <c:idx val="6"/>
        <c:spPr>
          <a:solidFill>
            <a:srgbClr val="9B553F"/>
          </a:solidFill>
          <a:ln>
            <a:noFill/>
          </a:ln>
          <a:effectLst/>
        </c:spPr>
      </c:pivotFmt>
      <c:pivotFmt>
        <c:idx val="7"/>
        <c:spPr>
          <a:solidFill>
            <a:srgbClr val="9B553F"/>
          </a:solidFill>
          <a:ln>
            <a:noFill/>
          </a:ln>
          <a:effectLst/>
        </c:spPr>
      </c:pivotFmt>
      <c:pivotFmt>
        <c:idx val="8"/>
        <c:spPr>
          <a:solidFill>
            <a:srgbClr val="9B553F"/>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B553F"/>
          </a:solidFill>
          <a:ln>
            <a:noFill/>
          </a:ln>
          <a:effectLst/>
        </c:spPr>
      </c:pivotFmt>
      <c:pivotFmt>
        <c:idx val="11"/>
        <c:spPr>
          <a:solidFill>
            <a:srgbClr val="9B553F"/>
          </a:solidFill>
          <a:ln>
            <a:noFill/>
          </a:ln>
          <a:effectLst/>
        </c:spPr>
      </c:pivotFmt>
      <c:pivotFmt>
        <c:idx val="12"/>
        <c:spPr>
          <a:solidFill>
            <a:srgbClr val="9B553F"/>
          </a:solidFill>
          <a:ln>
            <a:noFill/>
          </a:ln>
          <a:effectLst/>
        </c:spPr>
      </c:pivotFmt>
      <c:pivotFmt>
        <c:idx val="13"/>
        <c:spPr>
          <a:solidFill>
            <a:srgbClr val="9B553F"/>
          </a:solidFill>
          <a:ln>
            <a:noFill/>
          </a:ln>
          <a:effectLst/>
        </c:spPr>
      </c:pivotFmt>
      <c:pivotFmt>
        <c:idx val="14"/>
        <c:spPr>
          <a:solidFill>
            <a:srgbClr val="623628"/>
          </a:solidFill>
          <a:ln>
            <a:noFill/>
          </a:ln>
          <a:effectLst/>
        </c:spPr>
      </c:pivotFmt>
      <c:pivotFmt>
        <c:idx val="15"/>
        <c:spPr>
          <a:solidFill>
            <a:srgbClr val="623628"/>
          </a:solidFill>
          <a:ln>
            <a:noFill/>
          </a:ln>
          <a:effectLst/>
        </c:spPr>
      </c:pivotFmt>
      <c:pivotFmt>
        <c:idx val="16"/>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B553F"/>
          </a:solidFill>
          <a:ln>
            <a:noFill/>
          </a:ln>
          <a:effectLst/>
        </c:spPr>
      </c:pivotFmt>
      <c:pivotFmt>
        <c:idx val="18"/>
        <c:spPr>
          <a:solidFill>
            <a:srgbClr val="9B553F"/>
          </a:solidFill>
          <a:ln>
            <a:noFill/>
          </a:ln>
          <a:effectLst/>
        </c:spPr>
      </c:pivotFmt>
      <c:pivotFmt>
        <c:idx val="19"/>
        <c:spPr>
          <a:solidFill>
            <a:srgbClr val="9B553F"/>
          </a:solidFill>
          <a:ln>
            <a:noFill/>
          </a:ln>
          <a:effectLst/>
        </c:spPr>
      </c:pivotFmt>
      <c:pivotFmt>
        <c:idx val="20"/>
        <c:spPr>
          <a:solidFill>
            <a:srgbClr val="9B553F"/>
          </a:solidFill>
          <a:ln>
            <a:noFill/>
          </a:ln>
          <a:effectLst/>
        </c:spPr>
      </c:pivotFmt>
      <c:pivotFmt>
        <c:idx val="21"/>
        <c:spPr>
          <a:solidFill>
            <a:srgbClr val="623628"/>
          </a:solidFill>
          <a:ln>
            <a:noFill/>
          </a:ln>
          <a:effectLst/>
        </c:spPr>
      </c:pivotFmt>
      <c:pivotFmt>
        <c:idx val="22"/>
        <c:spPr>
          <a:solidFill>
            <a:srgbClr val="623628"/>
          </a:solidFill>
          <a:ln>
            <a:noFill/>
          </a:ln>
          <a:effectLst/>
        </c:spPr>
      </c:pivotFmt>
      <c:pivotFmt>
        <c:idx val="23"/>
        <c:spPr>
          <a:solidFill>
            <a:srgbClr val="C55A11"/>
          </a:solidFill>
          <a:ln>
            <a:noFill/>
          </a:ln>
          <a:effectLst/>
        </c:spPr>
      </c:pivotFmt>
    </c:pivotFmts>
    <c:plotArea>
      <c:layout>
        <c:manualLayout>
          <c:layoutTarget val="inner"/>
          <c:xMode val="edge"/>
          <c:yMode val="edge"/>
          <c:x val="0.29155680930126926"/>
          <c:y val="0.20249638987459925"/>
          <c:w val="0.68111499699182676"/>
          <c:h val="0.74467825915356123"/>
        </c:manualLayout>
      </c:layout>
      <c:barChart>
        <c:barDir val="bar"/>
        <c:grouping val="clustered"/>
        <c:varyColors val="0"/>
        <c:ser>
          <c:idx val="0"/>
          <c:order val="0"/>
          <c:tx>
            <c:strRef>
              <c:f>Pivot_tables.xlsx!$B$63</c:f>
              <c:strCache>
                <c:ptCount val="1"/>
                <c:pt idx="0">
                  <c:v>Total</c:v>
                </c:pt>
              </c:strCache>
            </c:strRef>
          </c:tx>
          <c:spPr>
            <a:solidFill>
              <a:srgbClr val="C55A11"/>
            </a:solidFill>
            <a:ln>
              <a:noFill/>
            </a:ln>
            <a:effectLst/>
          </c:spPr>
          <c:invertIfNegative val="0"/>
          <c:dPt>
            <c:idx val="0"/>
            <c:invertIfNegative val="0"/>
            <c:bubble3D val="0"/>
            <c:spPr>
              <a:solidFill>
                <a:srgbClr val="9B553F"/>
              </a:solidFill>
              <a:ln>
                <a:noFill/>
              </a:ln>
              <a:effectLst/>
            </c:spPr>
            <c:extLst>
              <c:ext xmlns:c16="http://schemas.microsoft.com/office/drawing/2014/chart" uri="{C3380CC4-5D6E-409C-BE32-E72D297353CC}">
                <c16:uniqueId val="{00000001-70EF-4463-B51E-2EE9B362834E}"/>
              </c:ext>
            </c:extLst>
          </c:dPt>
          <c:dPt>
            <c:idx val="1"/>
            <c:invertIfNegative val="0"/>
            <c:bubble3D val="0"/>
            <c:spPr>
              <a:solidFill>
                <a:srgbClr val="9B553F"/>
              </a:solidFill>
              <a:ln>
                <a:noFill/>
              </a:ln>
              <a:effectLst/>
            </c:spPr>
            <c:extLst>
              <c:ext xmlns:c16="http://schemas.microsoft.com/office/drawing/2014/chart" uri="{C3380CC4-5D6E-409C-BE32-E72D297353CC}">
                <c16:uniqueId val="{00000003-70EF-4463-B51E-2EE9B362834E}"/>
              </c:ext>
            </c:extLst>
          </c:dPt>
          <c:dPt>
            <c:idx val="2"/>
            <c:invertIfNegative val="0"/>
            <c:bubble3D val="0"/>
            <c:spPr>
              <a:solidFill>
                <a:srgbClr val="9B553F"/>
              </a:solidFill>
              <a:ln>
                <a:noFill/>
              </a:ln>
              <a:effectLst/>
            </c:spPr>
            <c:extLst>
              <c:ext xmlns:c16="http://schemas.microsoft.com/office/drawing/2014/chart" uri="{C3380CC4-5D6E-409C-BE32-E72D297353CC}">
                <c16:uniqueId val="{00000005-70EF-4463-B51E-2EE9B362834E}"/>
              </c:ext>
            </c:extLst>
          </c:dPt>
          <c:dPt>
            <c:idx val="3"/>
            <c:invertIfNegative val="0"/>
            <c:bubble3D val="0"/>
            <c:spPr>
              <a:solidFill>
                <a:srgbClr val="9B553F"/>
              </a:solidFill>
              <a:ln>
                <a:noFill/>
              </a:ln>
              <a:effectLst/>
            </c:spPr>
            <c:extLst>
              <c:ext xmlns:c16="http://schemas.microsoft.com/office/drawing/2014/chart" uri="{C3380CC4-5D6E-409C-BE32-E72D297353CC}">
                <c16:uniqueId val="{00000007-70EF-4463-B51E-2EE9B362834E}"/>
              </c:ext>
            </c:extLst>
          </c:dPt>
          <c:dPt>
            <c:idx val="4"/>
            <c:invertIfNegative val="0"/>
            <c:bubble3D val="0"/>
            <c:spPr>
              <a:solidFill>
                <a:srgbClr val="623628"/>
              </a:solidFill>
              <a:ln>
                <a:noFill/>
              </a:ln>
              <a:effectLst/>
            </c:spPr>
            <c:extLst>
              <c:ext xmlns:c16="http://schemas.microsoft.com/office/drawing/2014/chart" uri="{C3380CC4-5D6E-409C-BE32-E72D297353CC}">
                <c16:uniqueId val="{00000009-70EF-4463-B51E-2EE9B362834E}"/>
              </c:ext>
            </c:extLst>
          </c:dPt>
          <c:dPt>
            <c:idx val="5"/>
            <c:invertIfNegative val="0"/>
            <c:bubble3D val="0"/>
            <c:spPr>
              <a:solidFill>
                <a:srgbClr val="623628"/>
              </a:solidFill>
              <a:ln>
                <a:noFill/>
              </a:ln>
              <a:effectLst/>
            </c:spPr>
            <c:extLst>
              <c:ext xmlns:c16="http://schemas.microsoft.com/office/drawing/2014/chart" uri="{C3380CC4-5D6E-409C-BE32-E72D297353CC}">
                <c16:uniqueId val="{0000000B-70EF-4463-B51E-2EE9B362834E}"/>
              </c:ext>
            </c:extLst>
          </c:dPt>
          <c:cat>
            <c:strRef>
              <c:f>Pivot_tables.xlsx!$A$64:$A$69</c:f>
              <c:strCache>
                <c:ptCount val="6"/>
                <c:pt idx="0">
                  <c:v>Continental Coffee</c:v>
                </c:pt>
                <c:pt idx="1">
                  <c:v>Blue Tokai</c:v>
                </c:pt>
                <c:pt idx="2">
                  <c:v>Tata Coffee</c:v>
                </c:pt>
                <c:pt idx="3">
                  <c:v>Sleepy Owl</c:v>
                </c:pt>
                <c:pt idx="4">
                  <c:v>Bru</c:v>
                </c:pt>
                <c:pt idx="5">
                  <c:v>NesCafa</c:v>
                </c:pt>
              </c:strCache>
            </c:strRef>
          </c:cat>
          <c:val>
            <c:numRef>
              <c:f>Pivot_tables.xlsx!$B$64:$B$69</c:f>
              <c:numCache>
                <c:formatCode>General</c:formatCode>
                <c:ptCount val="6"/>
                <c:pt idx="0">
                  <c:v>86</c:v>
                </c:pt>
                <c:pt idx="1">
                  <c:v>99</c:v>
                </c:pt>
                <c:pt idx="2">
                  <c:v>102</c:v>
                </c:pt>
                <c:pt idx="3">
                  <c:v>110</c:v>
                </c:pt>
                <c:pt idx="4">
                  <c:v>230</c:v>
                </c:pt>
                <c:pt idx="5">
                  <c:v>373</c:v>
                </c:pt>
              </c:numCache>
            </c:numRef>
          </c:val>
          <c:extLst>
            <c:ext xmlns:c16="http://schemas.microsoft.com/office/drawing/2014/chart" uri="{C3380CC4-5D6E-409C-BE32-E72D297353CC}">
              <c16:uniqueId val="{0000000D-93E2-4FCF-8A14-B4E3046595FE}"/>
            </c:ext>
          </c:extLst>
        </c:ser>
        <c:dLbls>
          <c:showLegendKey val="0"/>
          <c:showVal val="0"/>
          <c:showCatName val="0"/>
          <c:showSerName val="0"/>
          <c:showPercent val="0"/>
          <c:showBubbleSize val="0"/>
        </c:dLbls>
        <c:gapWidth val="125"/>
        <c:axId val="191965040"/>
        <c:axId val="191960048"/>
      </c:barChart>
      <c:catAx>
        <c:axId val="191965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1960048"/>
        <c:crosses val="autoZero"/>
        <c:auto val="1"/>
        <c:lblAlgn val="ctr"/>
        <c:lblOffset val="100"/>
        <c:noMultiLvlLbl val="0"/>
      </c:catAx>
      <c:valAx>
        <c:axId val="191960048"/>
        <c:scaling>
          <c:orientation val="minMax"/>
        </c:scaling>
        <c:delete val="1"/>
        <c:axPos val="b"/>
        <c:numFmt formatCode="General" sourceLinked="1"/>
        <c:majorTickMark val="out"/>
        <c:minorTickMark val="none"/>
        <c:tickLblPos val="nextTo"/>
        <c:crossAx val="191965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Dashboard.xlsx]Pivot_tables.xlsx!preferred time</c:name>
    <c:fmtId val="2"/>
  </c:pivotSource>
  <c:chart>
    <c:title>
      <c:tx>
        <c:rich>
          <a:bodyPr rot="0" spcFirstLastPara="1" vertOverflow="ellipsis" vert="horz" wrap="square" anchor="ctr" anchorCtr="1"/>
          <a:lstStyle/>
          <a:p>
            <a:pPr>
              <a:defRPr lang="en-US" sz="1600" b="0" i="0" u="none" strike="noStrike" kern="1200" spc="0" baseline="0">
                <a:solidFill>
                  <a:schemeClr val="bg2">
                    <a:lumMod val="25000"/>
                  </a:schemeClr>
                </a:solidFill>
                <a:effectLst/>
                <a:latin typeface="+mn-lt"/>
                <a:ea typeface="+mn-ea"/>
                <a:cs typeface="+mn-cs"/>
              </a:defRPr>
            </a:pPr>
            <a:r>
              <a:rPr lang="en-US" sz="1600" b="0" i="0" u="none" strike="noStrike" kern="1200" spc="0" baseline="0">
                <a:solidFill>
                  <a:schemeClr val="bg2">
                    <a:lumMod val="25000"/>
                  </a:schemeClr>
                </a:solidFill>
                <a:effectLst/>
                <a:latin typeface="+mn-lt"/>
                <a:ea typeface="+mn-ea"/>
                <a:cs typeface="+mn-cs"/>
              </a:rPr>
              <a:t>Preferred Time</a:t>
            </a:r>
          </a:p>
        </c:rich>
      </c:tx>
      <c:layout>
        <c:manualLayout>
          <c:xMode val="edge"/>
          <c:yMode val="edge"/>
          <c:x val="0.29710412181100077"/>
          <c:y val="1.9125384970842568E-2"/>
        </c:manualLayout>
      </c:layout>
      <c:overlay val="0"/>
      <c:spPr>
        <a:noFill/>
        <a:ln>
          <a:noFill/>
        </a:ln>
        <a:effectLst/>
      </c:spPr>
      <c:txPr>
        <a:bodyPr rot="0" spcFirstLastPara="1" vertOverflow="ellipsis" vert="horz" wrap="square" anchor="ctr" anchorCtr="1"/>
        <a:lstStyle/>
        <a:p>
          <a:pPr>
            <a:defRPr lang="en-US" sz="1600" b="0" i="0" u="none" strike="noStrike" kern="1200" spc="0" baseline="0">
              <a:solidFill>
                <a:schemeClr val="bg2">
                  <a:lumMod val="25000"/>
                </a:schemeClr>
              </a:solidFill>
              <a:effectLst/>
              <a:latin typeface="+mn-lt"/>
              <a:ea typeface="+mn-ea"/>
              <a:cs typeface="+mn-cs"/>
            </a:defRPr>
          </a:pPr>
          <a:endParaRPr lang="en-US"/>
        </a:p>
      </c:txPr>
    </c:title>
    <c:autoTitleDeleted val="0"/>
    <c:pivotFmts>
      <c:pivotFmt>
        <c:idx val="0"/>
        <c:spPr>
          <a:solidFill>
            <a:srgbClr val="F4A26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5EFE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B3834E"/>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4A261"/>
          </a:solidFill>
          <a:ln w="19050">
            <a:solidFill>
              <a:schemeClr val="lt1"/>
            </a:solidFill>
          </a:ln>
          <a:effectLst/>
        </c:spPr>
      </c:pivotFmt>
      <c:pivotFmt>
        <c:idx val="5"/>
        <c:spPr>
          <a:solidFill>
            <a:srgbClr val="F4A26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5EFE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4A261"/>
          </a:solidFill>
          <a:ln w="19050">
            <a:solidFill>
              <a:schemeClr val="lt1"/>
            </a:solidFill>
          </a:ln>
          <a:effectLst/>
        </c:spPr>
      </c:pivotFmt>
      <c:pivotFmt>
        <c:idx val="8"/>
        <c:spPr>
          <a:solidFill>
            <a:srgbClr val="B3834E"/>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2">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F4A26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F5EFE6"/>
          </a:solidFill>
          <a:ln w="19050">
            <a:solidFill>
              <a:schemeClr val="lt1"/>
            </a:solidFill>
          </a:ln>
          <a:effectLst/>
        </c:spPr>
        <c:dLbl>
          <c:idx val="0"/>
          <c:layout>
            <c:manualLayout>
              <c:x val="-0.22013931673840051"/>
              <c:y val="-1.156241250394411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9247040899780383"/>
                  <c:h val="0.16903852965950927"/>
                </c:manualLayout>
              </c15:layout>
            </c:ext>
          </c:extLst>
        </c:dLbl>
      </c:pivotFmt>
      <c:pivotFmt>
        <c:idx val="12"/>
        <c:spPr>
          <a:solidFill>
            <a:srgbClr val="F4A261"/>
          </a:solidFill>
          <a:ln w="19050">
            <a:solidFill>
              <a:schemeClr val="lt1"/>
            </a:solidFill>
          </a:ln>
          <a:effectLst/>
        </c:spPr>
        <c:dLbl>
          <c:idx val="0"/>
          <c:layout>
            <c:manualLayout>
              <c:x val="-4.725286930103164E-2"/>
              <c:y val="-9.7326782867000486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1049388701178599"/>
                  <c:h val="0.20225869649091699"/>
                </c:manualLayout>
              </c15:layout>
            </c:ext>
          </c:extLst>
        </c:dLbl>
      </c:pivotFmt>
      <c:pivotFmt>
        <c:idx val="13"/>
        <c:spPr>
          <a:solidFill>
            <a:srgbClr val="B3834E"/>
          </a:solidFill>
          <a:ln w="19050">
            <a:solidFill>
              <a:schemeClr val="lt1"/>
            </a:solidFill>
          </a:ln>
          <a:effectLst/>
        </c:spPr>
        <c:dLbl>
          <c:idx val="0"/>
          <c:layout>
            <c:manualLayout>
              <c:x val="-0.19096430107279025"/>
              <c:y val="-0.1305670665659317"/>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115286535860293"/>
                  <c:h val="0.18029962993487625"/>
                </c:manualLayout>
              </c15:layout>
            </c:ext>
          </c:extLst>
        </c:dLbl>
      </c:pivotFmt>
      <c:pivotFmt>
        <c:idx val="14"/>
        <c:spPr>
          <a:solidFill>
            <a:schemeClr val="accent2">
              <a:lumMod val="50000"/>
            </a:schemeClr>
          </a:solidFill>
          <a:ln w="19050">
            <a:solidFill>
              <a:schemeClr val="lt1"/>
            </a:solidFill>
          </a:ln>
          <a:effectLst/>
        </c:spPr>
        <c:dLbl>
          <c:idx val="0"/>
          <c:layout>
            <c:manualLayout>
              <c:x val="0.23271833799267999"/>
              <c:y val="5.838896660811961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769219354741118"/>
          <c:y val="0.32158782064147473"/>
          <c:w val="0.68546817980824715"/>
          <c:h val="0.62258096235887594"/>
        </c:manualLayout>
      </c:layout>
      <c:pieChart>
        <c:varyColors val="1"/>
        <c:ser>
          <c:idx val="0"/>
          <c:order val="0"/>
          <c:tx>
            <c:strRef>
              <c:f>Pivot_tables.xlsx!$B$77</c:f>
              <c:strCache>
                <c:ptCount val="1"/>
                <c:pt idx="0">
                  <c:v>Total</c:v>
                </c:pt>
              </c:strCache>
            </c:strRef>
          </c:tx>
          <c:spPr>
            <a:solidFill>
              <a:srgbClr val="F4A261"/>
            </a:solidFill>
          </c:spPr>
          <c:dPt>
            <c:idx val="0"/>
            <c:bubble3D val="0"/>
            <c:spPr>
              <a:solidFill>
                <a:srgbClr val="F5EFE6"/>
              </a:solidFill>
              <a:ln w="19050">
                <a:solidFill>
                  <a:schemeClr val="lt1"/>
                </a:solidFill>
              </a:ln>
              <a:effectLst/>
            </c:spPr>
            <c:extLst>
              <c:ext xmlns:c16="http://schemas.microsoft.com/office/drawing/2014/chart" uri="{C3380CC4-5D6E-409C-BE32-E72D297353CC}">
                <c16:uniqueId val="{00000001-8BB6-4EEB-862F-923B98BC9D19}"/>
              </c:ext>
            </c:extLst>
          </c:dPt>
          <c:dPt>
            <c:idx val="1"/>
            <c:bubble3D val="0"/>
            <c:spPr>
              <a:solidFill>
                <a:srgbClr val="F4A261"/>
              </a:solidFill>
              <a:ln w="19050">
                <a:solidFill>
                  <a:schemeClr val="lt1"/>
                </a:solidFill>
              </a:ln>
              <a:effectLst/>
            </c:spPr>
            <c:extLst>
              <c:ext xmlns:c16="http://schemas.microsoft.com/office/drawing/2014/chart" uri="{C3380CC4-5D6E-409C-BE32-E72D297353CC}">
                <c16:uniqueId val="{00000003-8BB6-4EEB-862F-923B98BC9D19}"/>
              </c:ext>
            </c:extLst>
          </c:dPt>
          <c:dPt>
            <c:idx val="2"/>
            <c:bubble3D val="0"/>
            <c:spPr>
              <a:solidFill>
                <a:srgbClr val="B3834E"/>
              </a:solidFill>
              <a:ln w="19050">
                <a:solidFill>
                  <a:schemeClr val="lt1"/>
                </a:solidFill>
              </a:ln>
              <a:effectLst/>
            </c:spPr>
            <c:extLst>
              <c:ext xmlns:c16="http://schemas.microsoft.com/office/drawing/2014/chart" uri="{C3380CC4-5D6E-409C-BE32-E72D297353CC}">
                <c16:uniqueId val="{00000005-8BB6-4EEB-862F-923B98BC9D19}"/>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7-8BB6-4EEB-862F-923B98BC9D19}"/>
              </c:ext>
            </c:extLst>
          </c:dPt>
          <c:dLbls>
            <c:dLbl>
              <c:idx val="0"/>
              <c:layout>
                <c:manualLayout>
                  <c:x val="-0.22013931673840051"/>
                  <c:y val="-1.156241250394411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9247040899780383"/>
                      <c:h val="0.16903852965950927"/>
                    </c:manualLayout>
                  </c15:layout>
                </c:ext>
                <c:ext xmlns:c16="http://schemas.microsoft.com/office/drawing/2014/chart" uri="{C3380CC4-5D6E-409C-BE32-E72D297353CC}">
                  <c16:uniqueId val="{00000001-8BB6-4EEB-862F-923B98BC9D19}"/>
                </c:ext>
              </c:extLst>
            </c:dLbl>
            <c:dLbl>
              <c:idx val="1"/>
              <c:layout>
                <c:manualLayout>
                  <c:x val="-4.725286930103164E-2"/>
                  <c:y val="-9.7326782867000486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1049388701178599"/>
                      <c:h val="0.20225869649091699"/>
                    </c:manualLayout>
                  </c15:layout>
                </c:ext>
                <c:ext xmlns:c16="http://schemas.microsoft.com/office/drawing/2014/chart" uri="{C3380CC4-5D6E-409C-BE32-E72D297353CC}">
                  <c16:uniqueId val="{00000003-8BB6-4EEB-862F-923B98BC9D19}"/>
                </c:ext>
              </c:extLst>
            </c:dLbl>
            <c:dLbl>
              <c:idx val="2"/>
              <c:layout>
                <c:manualLayout>
                  <c:x val="-0.19096430107279025"/>
                  <c:y val="-0.1305670665659317"/>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115286535860293"/>
                      <c:h val="0.18029962993487625"/>
                    </c:manualLayout>
                  </c15:layout>
                </c:ext>
                <c:ext xmlns:c16="http://schemas.microsoft.com/office/drawing/2014/chart" uri="{C3380CC4-5D6E-409C-BE32-E72D297353CC}">
                  <c16:uniqueId val="{00000005-8BB6-4EEB-862F-923B98BC9D19}"/>
                </c:ext>
              </c:extLst>
            </c:dLbl>
            <c:dLbl>
              <c:idx val="3"/>
              <c:layout>
                <c:manualLayout>
                  <c:x val="0.23271833799267999"/>
                  <c:y val="5.838896660811961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BB6-4EEB-862F-923B98BC9D1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Pivot_tables.xlsx!$A$78:$A$82</c:f>
              <c:strCache>
                <c:ptCount val="4"/>
                <c:pt idx="0">
                  <c:v>afternoon</c:v>
                </c:pt>
                <c:pt idx="1">
                  <c:v>evening</c:v>
                </c:pt>
                <c:pt idx="2">
                  <c:v>morning</c:v>
                </c:pt>
                <c:pt idx="3">
                  <c:v>night</c:v>
                </c:pt>
              </c:strCache>
            </c:strRef>
          </c:cat>
          <c:val>
            <c:numRef>
              <c:f>Pivot_tables.xlsx!$B$78:$B$82</c:f>
              <c:numCache>
                <c:formatCode>0</c:formatCode>
                <c:ptCount val="4"/>
                <c:pt idx="0">
                  <c:v>140.82499999999976</c:v>
                </c:pt>
                <c:pt idx="1">
                  <c:v>255.39999999999949</c:v>
                </c:pt>
                <c:pt idx="2">
                  <c:v>534.19999999999891</c:v>
                </c:pt>
                <c:pt idx="3">
                  <c:v>597.79999999999927</c:v>
                </c:pt>
              </c:numCache>
            </c:numRef>
          </c:val>
          <c:extLst>
            <c:ext xmlns:c16="http://schemas.microsoft.com/office/drawing/2014/chart" uri="{C3380CC4-5D6E-409C-BE32-E72D297353CC}">
              <c16:uniqueId val="{00000008-8BB6-4EEB-862F-923B98BC9D19}"/>
            </c:ext>
          </c:extLst>
        </c:ser>
        <c:dLbls>
          <c:dLblPos val="bestFit"/>
          <c:showLegendKey val="0"/>
          <c:showVal val="1"/>
          <c:showCatName val="0"/>
          <c:showSerName val="0"/>
          <c:showPercent val="0"/>
          <c:showBubbleSize val="0"/>
          <c:showLeaderLines val="1"/>
        </c:dLbls>
        <c:firstSliceAng val="35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Dashboard.xlsx]Pivot_tables.xlsx!consume location</c:name>
    <c:fmtId val="4"/>
  </c:pivotSource>
  <c:chart>
    <c:title>
      <c:tx>
        <c:rich>
          <a:bodyPr rot="0" spcFirstLastPara="1" vertOverflow="ellipsis" vert="horz" wrap="square" anchor="ctr" anchorCtr="1"/>
          <a:lstStyle/>
          <a:p>
            <a:pPr>
              <a:defRPr lang="en-US" sz="1600" b="0" i="0" u="none" strike="noStrike" kern="1200" spc="0" baseline="0">
                <a:solidFill>
                  <a:schemeClr val="bg2">
                    <a:lumMod val="25000"/>
                  </a:schemeClr>
                </a:solidFill>
                <a:effectLst/>
                <a:latin typeface="+mn-lt"/>
                <a:ea typeface="+mn-ea"/>
                <a:cs typeface="+mn-cs"/>
              </a:defRPr>
            </a:pPr>
            <a:r>
              <a:rPr lang="en-US" sz="1600" b="0" i="0" u="none" strike="noStrike" kern="1200" spc="0" baseline="0">
                <a:solidFill>
                  <a:schemeClr val="bg2">
                    <a:lumMod val="25000"/>
                  </a:schemeClr>
                </a:solidFill>
                <a:effectLst/>
                <a:latin typeface="+mn-lt"/>
                <a:ea typeface="+mn-ea"/>
                <a:cs typeface="+mn-cs"/>
              </a:rPr>
              <a:t>Consumption Location</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bg2">
                  <a:lumMod val="25000"/>
                </a:schemeClr>
              </a:solidFill>
              <a:effectLst/>
              <a:latin typeface="+mn-lt"/>
              <a:ea typeface="+mn-ea"/>
              <a:cs typeface="+mn-cs"/>
            </a:defRPr>
          </a:pPr>
          <a:endParaRPr lang="en-US"/>
        </a:p>
      </c:txPr>
    </c:title>
    <c:autoTitleDeleted val="0"/>
    <c:pivotFmts>
      <c:pivotFmt>
        <c:idx val="0"/>
        <c:spPr>
          <a:solidFill>
            <a:srgbClr val="F4A2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4A2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A2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17706572785981E-2"/>
          <c:y val="0.17624063434825343"/>
          <c:w val="0.94810724230853305"/>
          <c:h val="0.65648351328964005"/>
        </c:manualLayout>
      </c:layout>
      <c:barChart>
        <c:barDir val="col"/>
        <c:grouping val="clustered"/>
        <c:varyColors val="0"/>
        <c:ser>
          <c:idx val="0"/>
          <c:order val="0"/>
          <c:tx>
            <c:strRef>
              <c:f>Pivot_tables.xlsx!$B$93</c:f>
              <c:strCache>
                <c:ptCount val="1"/>
                <c:pt idx="0">
                  <c:v>Total</c:v>
                </c:pt>
              </c:strCache>
            </c:strRef>
          </c:tx>
          <c:spPr>
            <a:solidFill>
              <a:srgbClr val="F4A261"/>
            </a:solidFill>
            <a:ln>
              <a:noFill/>
            </a:ln>
            <a:effectLst/>
          </c:spPr>
          <c:invertIfNegative val="0"/>
          <c:cat>
            <c:strRef>
              <c:f>Pivot_tables.xlsx!$A$94:$A$97</c:f>
              <c:strCache>
                <c:ptCount val="3"/>
                <c:pt idx="0">
                  <c:v>Cafa</c:v>
                </c:pt>
                <c:pt idx="1">
                  <c:v>home</c:v>
                </c:pt>
                <c:pt idx="2">
                  <c:v>office</c:v>
                </c:pt>
              </c:strCache>
            </c:strRef>
          </c:cat>
          <c:val>
            <c:numRef>
              <c:f>Pivot_tables.xlsx!$B$94:$B$97</c:f>
              <c:numCache>
                <c:formatCode>General</c:formatCode>
                <c:ptCount val="3"/>
                <c:pt idx="0">
                  <c:v>192</c:v>
                </c:pt>
                <c:pt idx="1">
                  <c:v>482</c:v>
                </c:pt>
                <c:pt idx="2">
                  <c:v>326</c:v>
                </c:pt>
              </c:numCache>
            </c:numRef>
          </c:val>
          <c:extLst>
            <c:ext xmlns:c16="http://schemas.microsoft.com/office/drawing/2014/chart" uri="{C3380CC4-5D6E-409C-BE32-E72D297353CC}">
              <c16:uniqueId val="{00000000-4940-4288-85A6-3689BAECBD7E}"/>
            </c:ext>
          </c:extLst>
        </c:ser>
        <c:dLbls>
          <c:showLegendKey val="0"/>
          <c:showVal val="0"/>
          <c:showCatName val="0"/>
          <c:showSerName val="0"/>
          <c:showPercent val="0"/>
          <c:showBubbleSize val="0"/>
        </c:dLbls>
        <c:gapWidth val="219"/>
        <c:overlap val="-27"/>
        <c:axId val="114721216"/>
        <c:axId val="114740352"/>
      </c:barChart>
      <c:catAx>
        <c:axId val="11472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4740352"/>
        <c:crosses val="autoZero"/>
        <c:auto val="1"/>
        <c:lblAlgn val="ctr"/>
        <c:lblOffset val="100"/>
        <c:noMultiLvlLbl val="0"/>
      </c:catAx>
      <c:valAx>
        <c:axId val="114740352"/>
        <c:scaling>
          <c:orientation val="minMax"/>
        </c:scaling>
        <c:delete val="1"/>
        <c:axPos val="l"/>
        <c:numFmt formatCode="General" sourceLinked="1"/>
        <c:majorTickMark val="none"/>
        <c:minorTickMark val="none"/>
        <c:tickLblPos val="nextTo"/>
        <c:crossAx val="11472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Dashboard.xlsx]Pivot_tables.xlsx!metro vs teir trend</c:name>
    <c:fmtId val="2"/>
  </c:pivotSource>
  <c:chart>
    <c:title>
      <c:tx>
        <c:rich>
          <a:bodyPr rot="0" spcFirstLastPara="1" vertOverflow="ellipsis" vert="horz" wrap="square" anchor="ctr" anchorCtr="1"/>
          <a:lstStyle/>
          <a:p>
            <a:pPr>
              <a:defRPr lang="en-US" sz="1600" b="0" i="0" u="none" strike="noStrike" kern="1200" spc="0" baseline="0">
                <a:solidFill>
                  <a:schemeClr val="bg2">
                    <a:lumMod val="25000"/>
                  </a:schemeClr>
                </a:solidFill>
                <a:effectLst/>
                <a:latin typeface="+mn-lt"/>
                <a:ea typeface="+mn-ea"/>
                <a:cs typeface="+mn-cs"/>
              </a:defRPr>
            </a:pPr>
            <a:r>
              <a:rPr lang="en-US" sz="1600" b="0" i="0" u="none" strike="noStrike" kern="1200" spc="0" baseline="0">
                <a:solidFill>
                  <a:schemeClr val="bg2">
                    <a:lumMod val="25000"/>
                  </a:schemeClr>
                </a:solidFill>
                <a:effectLst/>
                <a:latin typeface="+mn-lt"/>
                <a:ea typeface="+mn-ea"/>
                <a:cs typeface="+mn-cs"/>
              </a:rPr>
              <a:t>Metro vs Teir City coffee trends</a:t>
            </a:r>
          </a:p>
        </c:rich>
      </c:tx>
      <c:layout>
        <c:manualLayout>
          <c:xMode val="edge"/>
          <c:yMode val="edge"/>
          <c:x val="9.1082435120233382E-2"/>
          <c:y val="3.7136907079732967E-2"/>
        </c:manualLayout>
      </c:layout>
      <c:overlay val="0"/>
      <c:spPr>
        <a:noFill/>
        <a:ln w="9525">
          <a:noFill/>
        </a:ln>
        <a:effectLst/>
      </c:spPr>
      <c:txPr>
        <a:bodyPr rot="0" spcFirstLastPara="1" vertOverflow="ellipsis" vert="horz" wrap="square" anchor="ctr" anchorCtr="1"/>
        <a:lstStyle/>
        <a:p>
          <a:pPr>
            <a:defRPr lang="en-US" sz="1600" b="0" i="0" u="none" strike="noStrike" kern="1200" spc="0" baseline="0">
              <a:solidFill>
                <a:schemeClr val="bg2">
                  <a:lumMod val="25000"/>
                </a:schemeClr>
              </a:solidFill>
              <a:effectLst/>
              <a:latin typeface="+mn-lt"/>
              <a:ea typeface="+mn-ea"/>
              <a:cs typeface="+mn-cs"/>
            </a:defRPr>
          </a:pPr>
          <a:endParaRPr lang="en-US"/>
        </a:p>
      </c:txPr>
    </c:title>
    <c:autoTitleDeleted val="0"/>
    <c:pivotFmts>
      <c:pivotFmt>
        <c:idx val="0"/>
        <c:spPr>
          <a:solidFill>
            <a:schemeClr val="accent1"/>
          </a:solidFill>
          <a:ln w="28575" cap="rnd">
            <a:solidFill>
              <a:srgbClr val="6A310A"/>
            </a:solidFill>
            <a:round/>
          </a:ln>
          <a:effectLst/>
        </c:spPr>
        <c:marker>
          <c:symbol val="circle"/>
          <c:size val="5"/>
          <c:spPr>
            <a:solidFill>
              <a:schemeClr val="accent2">
                <a:lumMod val="50000"/>
              </a:schemeClr>
            </a:solidFill>
            <a:ln w="9525">
              <a:solidFill>
                <a:srgbClr val="6A310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A310A"/>
            </a:solidFill>
            <a:round/>
          </a:ln>
          <a:effectLst/>
        </c:spPr>
        <c:marker>
          <c:symbol val="circle"/>
          <c:size val="5"/>
          <c:spPr>
            <a:solidFill>
              <a:schemeClr val="accent2">
                <a:lumMod val="50000"/>
              </a:schemeClr>
            </a:solidFill>
            <a:ln w="9525">
              <a:solidFill>
                <a:srgbClr val="6A310A"/>
              </a:solidFill>
            </a:ln>
            <a:effectLst/>
          </c:spPr>
        </c:marker>
      </c:pivotFmt>
      <c:pivotFmt>
        <c:idx val="2"/>
        <c:spPr>
          <a:solidFill>
            <a:schemeClr val="accent1"/>
          </a:solidFill>
          <a:ln w="28575" cap="rnd">
            <a:solidFill>
              <a:srgbClr val="6A310A"/>
            </a:solidFill>
            <a:round/>
          </a:ln>
          <a:effectLst/>
        </c:spPr>
        <c:marker>
          <c:symbol val="circle"/>
          <c:size val="5"/>
          <c:spPr>
            <a:solidFill>
              <a:schemeClr val="accent2">
                <a:lumMod val="50000"/>
              </a:schemeClr>
            </a:solidFill>
            <a:ln w="9525">
              <a:solidFill>
                <a:srgbClr val="6A310A"/>
              </a:solidFill>
            </a:ln>
            <a:effectLst/>
          </c:spPr>
        </c:marker>
      </c:pivotFmt>
      <c:pivotFmt>
        <c:idx val="3"/>
        <c:spPr>
          <a:solidFill>
            <a:schemeClr val="accent1"/>
          </a:solidFill>
          <a:ln w="28575" cap="rnd">
            <a:solidFill>
              <a:srgbClr val="6A310A"/>
            </a:solidFill>
            <a:round/>
          </a:ln>
          <a:effectLst/>
        </c:spPr>
        <c:marker>
          <c:symbol val="circle"/>
          <c:size val="5"/>
          <c:spPr>
            <a:solidFill>
              <a:schemeClr val="accent2">
                <a:lumMod val="50000"/>
              </a:schemeClr>
            </a:solidFill>
            <a:ln w="9525">
              <a:solidFill>
                <a:srgbClr val="6A310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6A310A"/>
            </a:solidFill>
            <a:round/>
          </a:ln>
          <a:effectLst/>
        </c:spPr>
        <c:marker>
          <c:symbol val="circle"/>
          <c:size val="5"/>
          <c:spPr>
            <a:solidFill>
              <a:schemeClr val="accent2">
                <a:lumMod val="50000"/>
              </a:schemeClr>
            </a:solidFill>
            <a:ln w="9525">
              <a:solidFill>
                <a:srgbClr val="6A310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spc="0" baseline="0">
                  <a:solidFill>
                    <a:schemeClr val="bg2">
                      <a:lumMod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89018392678407"/>
          <c:y val="0.31618604505674702"/>
          <c:w val="0.45469630718265469"/>
          <c:h val="0.58012817556547513"/>
        </c:manualLayout>
      </c:layout>
      <c:radarChart>
        <c:radarStyle val="marker"/>
        <c:varyColors val="0"/>
        <c:ser>
          <c:idx val="0"/>
          <c:order val="0"/>
          <c:tx>
            <c:strRef>
              <c:f>Pivot_tables.xlsx!$B$109</c:f>
              <c:strCache>
                <c:ptCount val="1"/>
                <c:pt idx="0">
                  <c:v>Total</c:v>
                </c:pt>
              </c:strCache>
            </c:strRef>
          </c:tx>
          <c:spPr>
            <a:ln w="28575" cap="rnd">
              <a:solidFill>
                <a:srgbClr val="6A310A"/>
              </a:solidFill>
              <a:round/>
            </a:ln>
            <a:effectLst/>
          </c:spPr>
          <c:marker>
            <c:symbol val="circle"/>
            <c:size val="5"/>
            <c:spPr>
              <a:solidFill>
                <a:schemeClr val="accent2">
                  <a:lumMod val="50000"/>
                </a:schemeClr>
              </a:solidFill>
              <a:ln w="9525">
                <a:solidFill>
                  <a:srgbClr val="6A310A"/>
                </a:solidFill>
              </a:ln>
              <a:effectLst/>
            </c:spPr>
          </c:marker>
          <c:cat>
            <c:strRef>
              <c:f>Pivot_tables.xlsx!$A$110:$A$113</c:f>
              <c:strCache>
                <c:ptCount val="3"/>
                <c:pt idx="0">
                  <c:v>metro</c:v>
                </c:pt>
                <c:pt idx="1">
                  <c:v>tier2</c:v>
                </c:pt>
                <c:pt idx="2">
                  <c:v>tier3</c:v>
                </c:pt>
              </c:strCache>
            </c:strRef>
          </c:cat>
          <c:val>
            <c:numRef>
              <c:f>Pivot_tables.xlsx!$B$110:$B$113</c:f>
              <c:numCache>
                <c:formatCode>General</c:formatCode>
                <c:ptCount val="3"/>
                <c:pt idx="0">
                  <c:v>391</c:v>
                </c:pt>
                <c:pt idx="1">
                  <c:v>336</c:v>
                </c:pt>
                <c:pt idx="2">
                  <c:v>273</c:v>
                </c:pt>
              </c:numCache>
            </c:numRef>
          </c:val>
          <c:extLst>
            <c:ext xmlns:c16="http://schemas.microsoft.com/office/drawing/2014/chart" uri="{C3380CC4-5D6E-409C-BE32-E72D297353CC}">
              <c16:uniqueId val="{00000000-470F-4E8C-A14E-4A536EE37B60}"/>
            </c:ext>
          </c:extLst>
        </c:ser>
        <c:dLbls>
          <c:showLegendKey val="0"/>
          <c:showVal val="0"/>
          <c:showCatName val="0"/>
          <c:showSerName val="0"/>
          <c:showPercent val="0"/>
          <c:showBubbleSize val="0"/>
        </c:dLbls>
        <c:axId val="400831040"/>
        <c:axId val="400819392"/>
      </c:radarChart>
      <c:catAx>
        <c:axId val="40083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50800" dir="5400000" sx="3000" sy="3000" algn="ctr" rotWithShape="0">
              <a:srgbClr val="000000">
                <a:alpha val="43137"/>
              </a:srgbClr>
            </a:outerShdw>
          </a:effectLst>
        </c:spPr>
        <c:txPr>
          <a:bodyPr rot="-60000000" spcFirstLastPara="1" vertOverflow="ellipsis" vert="horz" wrap="square" anchor="ctr" anchorCtr="1"/>
          <a:lstStyle/>
          <a:p>
            <a:pPr>
              <a:defRPr lang="en-US" sz="1600" b="0" i="0" u="none" strike="noStrike" kern="1200" spc="0" baseline="0">
                <a:solidFill>
                  <a:schemeClr val="bg2">
                    <a:lumMod val="25000"/>
                  </a:schemeClr>
                </a:solidFill>
                <a:effectLst/>
                <a:latin typeface="+mn-lt"/>
                <a:ea typeface="+mn-ea"/>
                <a:cs typeface="+mn-cs"/>
              </a:defRPr>
            </a:pPr>
            <a:endParaRPr lang="en-US"/>
          </a:p>
        </c:txPr>
        <c:crossAx val="400819392"/>
        <c:crosses val="autoZero"/>
        <c:auto val="1"/>
        <c:lblAlgn val="ctr"/>
        <c:lblOffset val="100"/>
        <c:noMultiLvlLbl val="0"/>
      </c:catAx>
      <c:valAx>
        <c:axId val="4008193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00831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600" b="0" i="0" u="none" strike="noStrike" kern="1200" spc="0" baseline="0">
          <a:solidFill>
            <a:schemeClr val="bg2">
              <a:lumMod val="25000"/>
            </a:schemeClr>
          </a:solidFill>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Dashboard.xlsx]Pivot_tables.xlsx!health consious trend</c:name>
    <c:fmtId val="3"/>
  </c:pivotSource>
  <c:chart>
    <c:title>
      <c:tx>
        <c:rich>
          <a:bodyPr rot="0" spcFirstLastPara="1" vertOverflow="ellipsis" vert="horz" wrap="square" anchor="ctr" anchorCtr="1"/>
          <a:lstStyle/>
          <a:p>
            <a:pPr>
              <a:defRPr lang="en-US" sz="1600" b="0" i="0" u="none" strike="noStrike" kern="1200" spc="0" baseline="0">
                <a:solidFill>
                  <a:schemeClr val="bg2">
                    <a:lumMod val="25000"/>
                  </a:schemeClr>
                </a:solidFill>
                <a:effectLst/>
                <a:latin typeface="+mn-lt"/>
                <a:ea typeface="+mn-ea"/>
                <a:cs typeface="+mn-cs"/>
              </a:defRPr>
            </a:pPr>
            <a:r>
              <a:rPr lang="en-US" sz="1600" b="0" i="0" u="none" strike="noStrike" kern="1200" spc="0" baseline="0">
                <a:solidFill>
                  <a:schemeClr val="bg2">
                    <a:lumMod val="25000"/>
                  </a:schemeClr>
                </a:solidFill>
                <a:effectLst/>
                <a:latin typeface="+mn-lt"/>
                <a:ea typeface="+mn-ea"/>
                <a:cs typeface="+mn-cs"/>
              </a:rPr>
              <a:t>Health-Conscious Coffee trends (Agewise)</a:t>
            </a:r>
          </a:p>
        </c:rich>
      </c:tx>
      <c:layout>
        <c:manualLayout>
          <c:xMode val="edge"/>
          <c:yMode val="edge"/>
          <c:x val="0.14196541516382205"/>
          <c:y val="5.7527286245163421E-2"/>
        </c:manualLayout>
      </c:layout>
      <c:overlay val="0"/>
      <c:spPr>
        <a:noFill/>
        <a:ln>
          <a:noFill/>
        </a:ln>
        <a:effectLst/>
      </c:spPr>
      <c:txPr>
        <a:bodyPr rot="0" spcFirstLastPara="1" vertOverflow="ellipsis" vert="horz" wrap="square" anchor="ctr" anchorCtr="1"/>
        <a:lstStyle/>
        <a:p>
          <a:pPr>
            <a:defRPr lang="en-US" sz="1600" b="0" i="0" u="none" strike="noStrike" kern="1200" spc="0" baseline="0">
              <a:solidFill>
                <a:schemeClr val="bg2">
                  <a:lumMod val="25000"/>
                </a:schemeClr>
              </a:solidFill>
              <a:effectLst/>
              <a:latin typeface="+mn-lt"/>
              <a:ea typeface="+mn-ea"/>
              <a:cs typeface="+mn-cs"/>
            </a:defRPr>
          </a:pPr>
          <a:endParaRPr lang="en-US"/>
        </a:p>
      </c:txPr>
    </c:title>
    <c:autoTitleDeleted val="0"/>
    <c:pivotFmts>
      <c:pivotFmt>
        <c:idx val="0"/>
        <c:spPr>
          <a:solidFill>
            <a:srgbClr val="B383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F6D3F"/>
          </a:solidFill>
          <a:ln>
            <a:noFill/>
          </a:ln>
          <a:effectLst/>
        </c:spPr>
      </c:pivotFmt>
      <c:pivotFmt>
        <c:idx val="2"/>
        <c:spPr>
          <a:solidFill>
            <a:srgbClr val="9F6D3F"/>
          </a:solidFill>
          <a:ln>
            <a:noFill/>
          </a:ln>
          <a:effectLst/>
        </c:spPr>
      </c:pivotFmt>
      <c:pivotFmt>
        <c:idx val="3"/>
        <c:spPr>
          <a:solidFill>
            <a:srgbClr val="9F6D3F"/>
          </a:solidFill>
          <a:ln>
            <a:noFill/>
          </a:ln>
          <a:effectLst/>
        </c:spPr>
      </c:pivotFmt>
      <c:pivotFmt>
        <c:idx val="4"/>
        <c:spPr>
          <a:solidFill>
            <a:srgbClr val="9F6D3F"/>
          </a:solidFill>
          <a:ln>
            <a:noFill/>
          </a:ln>
          <a:effectLst/>
        </c:spPr>
      </c:pivotFmt>
      <c:pivotFmt>
        <c:idx val="5"/>
        <c:spPr>
          <a:solidFill>
            <a:srgbClr val="9F6D3F"/>
          </a:solidFill>
          <a:ln>
            <a:noFill/>
          </a:ln>
          <a:effectLst/>
        </c:spPr>
      </c:pivotFmt>
      <c:pivotFmt>
        <c:idx val="6"/>
        <c:spPr>
          <a:solidFill>
            <a:srgbClr val="86A653"/>
          </a:solidFill>
          <a:ln>
            <a:noFill/>
          </a:ln>
          <a:effectLst/>
        </c:spPr>
      </c:pivotFmt>
      <c:pivotFmt>
        <c:idx val="7"/>
        <c:spPr>
          <a:solidFill>
            <a:srgbClr val="86A653"/>
          </a:solidFill>
          <a:ln>
            <a:noFill/>
          </a:ln>
          <a:effectLst/>
        </c:spPr>
      </c:pivotFmt>
      <c:pivotFmt>
        <c:idx val="8"/>
        <c:spPr>
          <a:solidFill>
            <a:srgbClr val="86A653"/>
          </a:solidFill>
          <a:ln>
            <a:noFill/>
          </a:ln>
          <a:effectLst/>
        </c:spPr>
      </c:pivotFmt>
      <c:pivotFmt>
        <c:idx val="9"/>
        <c:spPr>
          <a:solidFill>
            <a:srgbClr val="86A653"/>
          </a:solidFill>
          <a:ln>
            <a:noFill/>
          </a:ln>
          <a:effectLst/>
        </c:spPr>
      </c:pivotFmt>
      <c:pivotFmt>
        <c:idx val="10"/>
        <c:spPr>
          <a:solidFill>
            <a:srgbClr val="86A653"/>
          </a:solidFill>
          <a:ln>
            <a:noFill/>
          </a:ln>
          <a:effectLst/>
        </c:spPr>
      </c:pivotFmt>
      <c:pivotFmt>
        <c:idx val="11"/>
        <c:spPr>
          <a:solidFill>
            <a:srgbClr val="A5D6A7"/>
          </a:solidFill>
          <a:ln>
            <a:noFill/>
          </a:ln>
          <a:effectLst/>
        </c:spPr>
      </c:pivotFmt>
      <c:pivotFmt>
        <c:idx val="12"/>
        <c:spPr>
          <a:solidFill>
            <a:srgbClr val="A5D6A7"/>
          </a:solidFill>
          <a:ln>
            <a:noFill/>
          </a:ln>
          <a:effectLst/>
        </c:spPr>
      </c:pivotFmt>
      <c:pivotFmt>
        <c:idx val="13"/>
        <c:spPr>
          <a:solidFill>
            <a:srgbClr val="A5D6A7"/>
          </a:solidFill>
          <a:ln>
            <a:noFill/>
          </a:ln>
          <a:effectLst/>
        </c:spPr>
      </c:pivotFmt>
      <c:pivotFmt>
        <c:idx val="14"/>
        <c:spPr>
          <a:solidFill>
            <a:srgbClr val="A5D6A7"/>
          </a:solidFill>
          <a:ln>
            <a:noFill/>
          </a:ln>
          <a:effectLst/>
        </c:spPr>
      </c:pivotFmt>
      <c:pivotFmt>
        <c:idx val="15"/>
        <c:spPr>
          <a:solidFill>
            <a:srgbClr val="A5D6A7"/>
          </a:solidFill>
          <a:ln>
            <a:noFill/>
          </a:ln>
          <a:effectLst/>
        </c:spPr>
      </c:pivotFmt>
      <c:pivotFmt>
        <c:idx val="16"/>
        <c:spPr>
          <a:solidFill>
            <a:srgbClr val="CA9F78"/>
          </a:solidFill>
          <a:ln>
            <a:noFill/>
          </a:ln>
          <a:effectLst/>
        </c:spPr>
      </c:pivotFmt>
      <c:pivotFmt>
        <c:idx val="17"/>
        <c:spPr>
          <a:solidFill>
            <a:srgbClr val="CA9F78"/>
          </a:solidFill>
          <a:ln>
            <a:noFill/>
          </a:ln>
          <a:effectLst/>
        </c:spPr>
      </c:pivotFmt>
      <c:pivotFmt>
        <c:idx val="18"/>
        <c:spPr>
          <a:solidFill>
            <a:srgbClr val="CA9F78"/>
          </a:solidFill>
          <a:ln>
            <a:noFill/>
          </a:ln>
          <a:effectLst/>
        </c:spPr>
      </c:pivotFmt>
      <c:pivotFmt>
        <c:idx val="19"/>
        <c:spPr>
          <a:solidFill>
            <a:srgbClr val="CA9F78"/>
          </a:solidFill>
          <a:ln>
            <a:noFill/>
          </a:ln>
          <a:effectLst/>
        </c:spPr>
      </c:pivotFmt>
      <c:pivotFmt>
        <c:idx val="20"/>
        <c:spPr>
          <a:solidFill>
            <a:srgbClr val="CA9F78"/>
          </a:solidFill>
          <a:ln>
            <a:noFill/>
          </a:ln>
          <a:effectLst/>
        </c:spPr>
      </c:pivotFmt>
      <c:pivotFmt>
        <c:idx val="21"/>
        <c:spPr>
          <a:solidFill>
            <a:srgbClr val="9F6D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86A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A5D6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CA9F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CA9F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CA9F78"/>
          </a:solidFill>
          <a:ln>
            <a:noFill/>
          </a:ln>
          <a:effectLst/>
        </c:spPr>
      </c:pivotFmt>
      <c:pivotFmt>
        <c:idx val="27"/>
        <c:spPr>
          <a:solidFill>
            <a:srgbClr val="CA9F78"/>
          </a:solidFill>
          <a:ln>
            <a:noFill/>
          </a:ln>
          <a:effectLst/>
        </c:spPr>
      </c:pivotFmt>
      <c:pivotFmt>
        <c:idx val="28"/>
        <c:spPr>
          <a:solidFill>
            <a:srgbClr val="CA9F78"/>
          </a:solidFill>
          <a:ln>
            <a:noFill/>
          </a:ln>
          <a:effectLst/>
        </c:spPr>
      </c:pivotFmt>
      <c:pivotFmt>
        <c:idx val="29"/>
        <c:spPr>
          <a:solidFill>
            <a:srgbClr val="CA9F78"/>
          </a:solidFill>
          <a:ln>
            <a:noFill/>
          </a:ln>
          <a:effectLst/>
        </c:spPr>
      </c:pivotFmt>
      <c:pivotFmt>
        <c:idx val="30"/>
        <c:spPr>
          <a:solidFill>
            <a:srgbClr val="CA9F78"/>
          </a:solidFill>
          <a:ln>
            <a:noFill/>
          </a:ln>
          <a:effectLst/>
        </c:spPr>
      </c:pivotFmt>
      <c:pivotFmt>
        <c:idx val="31"/>
        <c:spPr>
          <a:solidFill>
            <a:srgbClr val="9F6D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9F6D3F"/>
          </a:solidFill>
          <a:ln>
            <a:noFill/>
          </a:ln>
          <a:effectLst/>
        </c:spPr>
      </c:pivotFmt>
      <c:pivotFmt>
        <c:idx val="33"/>
        <c:spPr>
          <a:solidFill>
            <a:srgbClr val="9F6D3F"/>
          </a:solidFill>
          <a:ln>
            <a:noFill/>
          </a:ln>
          <a:effectLst/>
        </c:spPr>
      </c:pivotFmt>
      <c:pivotFmt>
        <c:idx val="34"/>
        <c:spPr>
          <a:solidFill>
            <a:srgbClr val="9F6D3F"/>
          </a:solidFill>
          <a:ln>
            <a:noFill/>
          </a:ln>
          <a:effectLst/>
        </c:spPr>
      </c:pivotFmt>
      <c:pivotFmt>
        <c:idx val="35"/>
        <c:spPr>
          <a:solidFill>
            <a:srgbClr val="9F6D3F"/>
          </a:solidFill>
          <a:ln>
            <a:noFill/>
          </a:ln>
          <a:effectLst/>
        </c:spPr>
      </c:pivotFmt>
      <c:pivotFmt>
        <c:idx val="36"/>
        <c:spPr>
          <a:solidFill>
            <a:srgbClr val="9F6D3F"/>
          </a:solidFill>
          <a:ln>
            <a:noFill/>
          </a:ln>
          <a:effectLst/>
        </c:spPr>
      </c:pivotFmt>
      <c:pivotFmt>
        <c:idx val="37"/>
        <c:spPr>
          <a:solidFill>
            <a:srgbClr val="86A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86A653"/>
          </a:solidFill>
          <a:ln>
            <a:noFill/>
          </a:ln>
          <a:effectLst/>
        </c:spPr>
      </c:pivotFmt>
      <c:pivotFmt>
        <c:idx val="39"/>
        <c:spPr>
          <a:solidFill>
            <a:srgbClr val="86A653"/>
          </a:solidFill>
          <a:ln>
            <a:noFill/>
          </a:ln>
          <a:effectLst/>
        </c:spPr>
      </c:pivotFmt>
      <c:pivotFmt>
        <c:idx val="40"/>
        <c:spPr>
          <a:solidFill>
            <a:srgbClr val="86A653"/>
          </a:solidFill>
          <a:ln>
            <a:noFill/>
          </a:ln>
          <a:effectLst/>
        </c:spPr>
      </c:pivotFmt>
      <c:pivotFmt>
        <c:idx val="41"/>
        <c:spPr>
          <a:solidFill>
            <a:srgbClr val="86A653"/>
          </a:solidFill>
          <a:ln>
            <a:noFill/>
          </a:ln>
          <a:effectLst/>
        </c:spPr>
      </c:pivotFmt>
      <c:pivotFmt>
        <c:idx val="42"/>
        <c:spPr>
          <a:solidFill>
            <a:srgbClr val="86A653"/>
          </a:solidFill>
          <a:ln>
            <a:noFill/>
          </a:ln>
          <a:effectLst/>
        </c:spPr>
      </c:pivotFmt>
      <c:pivotFmt>
        <c:idx val="43"/>
        <c:spPr>
          <a:solidFill>
            <a:srgbClr val="A5D6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A5D6A7"/>
          </a:solidFill>
          <a:ln>
            <a:noFill/>
          </a:ln>
          <a:effectLst/>
        </c:spPr>
      </c:pivotFmt>
      <c:pivotFmt>
        <c:idx val="45"/>
        <c:spPr>
          <a:solidFill>
            <a:srgbClr val="A5D6A7"/>
          </a:solidFill>
          <a:ln>
            <a:noFill/>
          </a:ln>
          <a:effectLst/>
        </c:spPr>
      </c:pivotFmt>
      <c:pivotFmt>
        <c:idx val="46"/>
        <c:spPr>
          <a:solidFill>
            <a:srgbClr val="A5D6A7"/>
          </a:solidFill>
          <a:ln>
            <a:noFill/>
          </a:ln>
          <a:effectLst/>
        </c:spPr>
      </c:pivotFmt>
      <c:pivotFmt>
        <c:idx val="47"/>
        <c:spPr>
          <a:solidFill>
            <a:srgbClr val="A5D6A7"/>
          </a:solidFill>
          <a:ln>
            <a:noFill/>
          </a:ln>
          <a:effectLst/>
        </c:spPr>
      </c:pivotFmt>
      <c:pivotFmt>
        <c:idx val="48"/>
        <c:spPr>
          <a:solidFill>
            <a:srgbClr val="A5D6A7"/>
          </a:solidFill>
          <a:ln>
            <a:noFill/>
          </a:ln>
          <a:effectLst/>
        </c:spPr>
      </c:pivotFmt>
      <c:pivotFmt>
        <c:idx val="49"/>
        <c:spPr>
          <a:solidFill>
            <a:srgbClr val="CA9F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CA9F78"/>
          </a:solidFill>
          <a:ln>
            <a:noFill/>
          </a:ln>
          <a:effectLst/>
        </c:spPr>
      </c:pivotFmt>
      <c:pivotFmt>
        <c:idx val="51"/>
        <c:spPr>
          <a:solidFill>
            <a:srgbClr val="CA9F78"/>
          </a:solidFill>
          <a:ln>
            <a:noFill/>
          </a:ln>
          <a:effectLst/>
        </c:spPr>
      </c:pivotFmt>
      <c:pivotFmt>
        <c:idx val="52"/>
        <c:spPr>
          <a:solidFill>
            <a:srgbClr val="CA9F78"/>
          </a:solidFill>
          <a:ln>
            <a:noFill/>
          </a:ln>
          <a:effectLst/>
        </c:spPr>
      </c:pivotFmt>
      <c:pivotFmt>
        <c:idx val="53"/>
        <c:spPr>
          <a:solidFill>
            <a:srgbClr val="CA9F78"/>
          </a:solidFill>
          <a:ln>
            <a:noFill/>
          </a:ln>
          <a:effectLst/>
        </c:spPr>
      </c:pivotFmt>
      <c:pivotFmt>
        <c:idx val="54"/>
        <c:spPr>
          <a:solidFill>
            <a:srgbClr val="CA9F78"/>
          </a:solidFill>
          <a:ln>
            <a:noFill/>
          </a:ln>
          <a:effectLst/>
        </c:spPr>
      </c:pivotFmt>
      <c:pivotFmt>
        <c:idx val="55"/>
        <c:spPr>
          <a:solidFill>
            <a:srgbClr val="9F6D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rgbClr val="9F6D3F"/>
          </a:solidFill>
          <a:ln>
            <a:noFill/>
          </a:ln>
          <a:effectLst/>
        </c:spPr>
      </c:pivotFmt>
      <c:pivotFmt>
        <c:idx val="57"/>
        <c:spPr>
          <a:solidFill>
            <a:srgbClr val="9F6D3F"/>
          </a:solidFill>
          <a:ln>
            <a:noFill/>
          </a:ln>
          <a:effectLst/>
        </c:spPr>
      </c:pivotFmt>
      <c:pivotFmt>
        <c:idx val="58"/>
        <c:spPr>
          <a:solidFill>
            <a:srgbClr val="9F6D3F"/>
          </a:solidFill>
          <a:ln>
            <a:noFill/>
          </a:ln>
          <a:effectLst/>
        </c:spPr>
      </c:pivotFmt>
      <c:pivotFmt>
        <c:idx val="59"/>
        <c:spPr>
          <a:solidFill>
            <a:srgbClr val="9F6D3F"/>
          </a:solidFill>
          <a:ln>
            <a:noFill/>
          </a:ln>
          <a:effectLst/>
        </c:spPr>
      </c:pivotFmt>
      <c:pivotFmt>
        <c:idx val="60"/>
        <c:spPr>
          <a:solidFill>
            <a:srgbClr val="9F6D3F"/>
          </a:solidFill>
          <a:ln>
            <a:noFill/>
          </a:ln>
          <a:effectLst/>
        </c:spPr>
      </c:pivotFmt>
      <c:pivotFmt>
        <c:idx val="61"/>
        <c:spPr>
          <a:solidFill>
            <a:srgbClr val="86A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rgbClr val="86A653"/>
          </a:solidFill>
          <a:ln>
            <a:noFill/>
          </a:ln>
          <a:effectLst/>
        </c:spPr>
      </c:pivotFmt>
      <c:pivotFmt>
        <c:idx val="63"/>
        <c:spPr>
          <a:solidFill>
            <a:srgbClr val="86A653"/>
          </a:solidFill>
          <a:ln>
            <a:noFill/>
          </a:ln>
          <a:effectLst/>
        </c:spPr>
      </c:pivotFmt>
      <c:pivotFmt>
        <c:idx val="64"/>
        <c:spPr>
          <a:solidFill>
            <a:srgbClr val="86A653"/>
          </a:solidFill>
          <a:ln>
            <a:noFill/>
          </a:ln>
          <a:effectLst/>
        </c:spPr>
      </c:pivotFmt>
      <c:pivotFmt>
        <c:idx val="65"/>
        <c:spPr>
          <a:solidFill>
            <a:srgbClr val="86A653"/>
          </a:solidFill>
          <a:ln>
            <a:noFill/>
          </a:ln>
          <a:effectLst/>
        </c:spPr>
      </c:pivotFmt>
      <c:pivotFmt>
        <c:idx val="66"/>
        <c:spPr>
          <a:solidFill>
            <a:srgbClr val="86A653"/>
          </a:solidFill>
          <a:ln>
            <a:noFill/>
          </a:ln>
          <a:effectLst/>
        </c:spPr>
      </c:pivotFmt>
      <c:pivotFmt>
        <c:idx val="67"/>
        <c:spPr>
          <a:solidFill>
            <a:srgbClr val="A5D6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rgbClr val="A5D6A7"/>
          </a:solidFill>
          <a:ln>
            <a:noFill/>
          </a:ln>
          <a:effectLst/>
        </c:spPr>
      </c:pivotFmt>
      <c:pivotFmt>
        <c:idx val="69"/>
        <c:spPr>
          <a:solidFill>
            <a:srgbClr val="A5D6A7"/>
          </a:solidFill>
          <a:ln>
            <a:noFill/>
          </a:ln>
          <a:effectLst/>
        </c:spPr>
      </c:pivotFmt>
      <c:pivotFmt>
        <c:idx val="70"/>
        <c:spPr>
          <a:solidFill>
            <a:srgbClr val="A5D6A7"/>
          </a:solidFill>
          <a:ln>
            <a:noFill/>
          </a:ln>
          <a:effectLst/>
        </c:spPr>
      </c:pivotFmt>
      <c:pivotFmt>
        <c:idx val="71"/>
        <c:spPr>
          <a:solidFill>
            <a:srgbClr val="A5D6A7"/>
          </a:solidFill>
          <a:ln>
            <a:noFill/>
          </a:ln>
          <a:effectLst/>
        </c:spPr>
      </c:pivotFmt>
      <c:pivotFmt>
        <c:idx val="72"/>
        <c:spPr>
          <a:solidFill>
            <a:srgbClr val="A5D6A7"/>
          </a:solidFill>
          <a:ln>
            <a:noFill/>
          </a:ln>
          <a:effectLst/>
        </c:spPr>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463206128918396E-2"/>
          <c:y val="0.12401758321118272"/>
          <c:w val="0.96049680861383269"/>
          <c:h val="0.69400710488356687"/>
        </c:manualLayout>
      </c:layout>
      <c:barChart>
        <c:barDir val="col"/>
        <c:grouping val="clustered"/>
        <c:varyColors val="0"/>
        <c:ser>
          <c:idx val="0"/>
          <c:order val="0"/>
          <c:tx>
            <c:strRef>
              <c:f>Pivot_tables.xlsx!$B$125:$B$126</c:f>
              <c:strCache>
                <c:ptCount val="1"/>
                <c:pt idx="0">
                  <c:v>low caffeine</c:v>
                </c:pt>
              </c:strCache>
            </c:strRef>
          </c:tx>
          <c:spPr>
            <a:solidFill>
              <a:srgbClr val="CA9F78"/>
            </a:solidFill>
            <a:ln>
              <a:noFill/>
            </a:ln>
            <a:effectLst/>
          </c:spPr>
          <c:invertIfNegative val="0"/>
          <c:dPt>
            <c:idx val="0"/>
            <c:invertIfNegative val="0"/>
            <c:bubble3D val="0"/>
            <c:spPr>
              <a:solidFill>
                <a:srgbClr val="CA9F78"/>
              </a:solidFill>
              <a:ln>
                <a:noFill/>
              </a:ln>
              <a:effectLst/>
            </c:spPr>
            <c:extLst>
              <c:ext xmlns:c16="http://schemas.microsoft.com/office/drawing/2014/chart" uri="{C3380CC4-5D6E-409C-BE32-E72D297353CC}">
                <c16:uniqueId val="{00000001-7EA9-4D80-86F1-271478955B45}"/>
              </c:ext>
            </c:extLst>
          </c:dPt>
          <c:dPt>
            <c:idx val="1"/>
            <c:invertIfNegative val="0"/>
            <c:bubble3D val="0"/>
            <c:spPr>
              <a:solidFill>
                <a:srgbClr val="CA9F78"/>
              </a:solidFill>
              <a:ln>
                <a:noFill/>
              </a:ln>
              <a:effectLst/>
            </c:spPr>
            <c:extLst>
              <c:ext xmlns:c16="http://schemas.microsoft.com/office/drawing/2014/chart" uri="{C3380CC4-5D6E-409C-BE32-E72D297353CC}">
                <c16:uniqueId val="{00000003-7EA9-4D80-86F1-271478955B45}"/>
              </c:ext>
            </c:extLst>
          </c:dPt>
          <c:dPt>
            <c:idx val="2"/>
            <c:invertIfNegative val="0"/>
            <c:bubble3D val="0"/>
            <c:spPr>
              <a:solidFill>
                <a:srgbClr val="CA9F78"/>
              </a:solidFill>
              <a:ln>
                <a:noFill/>
              </a:ln>
              <a:effectLst/>
            </c:spPr>
            <c:extLst>
              <c:ext xmlns:c16="http://schemas.microsoft.com/office/drawing/2014/chart" uri="{C3380CC4-5D6E-409C-BE32-E72D297353CC}">
                <c16:uniqueId val="{00000005-7EA9-4D80-86F1-271478955B45}"/>
              </c:ext>
            </c:extLst>
          </c:dPt>
          <c:dPt>
            <c:idx val="3"/>
            <c:invertIfNegative val="0"/>
            <c:bubble3D val="0"/>
            <c:spPr>
              <a:solidFill>
                <a:srgbClr val="CA9F78"/>
              </a:solidFill>
              <a:ln>
                <a:noFill/>
              </a:ln>
              <a:effectLst/>
            </c:spPr>
            <c:extLst>
              <c:ext xmlns:c16="http://schemas.microsoft.com/office/drawing/2014/chart" uri="{C3380CC4-5D6E-409C-BE32-E72D297353CC}">
                <c16:uniqueId val="{00000007-7EA9-4D80-86F1-271478955B45}"/>
              </c:ext>
            </c:extLst>
          </c:dPt>
          <c:dPt>
            <c:idx val="4"/>
            <c:invertIfNegative val="0"/>
            <c:bubble3D val="0"/>
            <c:spPr>
              <a:solidFill>
                <a:srgbClr val="CA9F78"/>
              </a:solidFill>
              <a:ln>
                <a:noFill/>
              </a:ln>
              <a:effectLst/>
            </c:spPr>
            <c:extLst>
              <c:ext xmlns:c16="http://schemas.microsoft.com/office/drawing/2014/chart" uri="{C3380CC4-5D6E-409C-BE32-E72D297353CC}">
                <c16:uniqueId val="{00000009-7EA9-4D80-86F1-271478955B45}"/>
              </c:ext>
            </c:extLst>
          </c:dPt>
          <c:dPt>
            <c:idx val="5"/>
            <c:invertIfNegative val="0"/>
            <c:bubble3D val="0"/>
            <c:extLst>
              <c:ext xmlns:c16="http://schemas.microsoft.com/office/drawing/2014/chart" uri="{C3380CC4-5D6E-409C-BE32-E72D297353CC}">
                <c16:uniqueId val="{0000000A-7EA9-4D80-86F1-271478955B45}"/>
              </c:ext>
            </c:extLst>
          </c:dPt>
          <c:dPt>
            <c:idx val="6"/>
            <c:invertIfNegative val="0"/>
            <c:bubble3D val="0"/>
            <c:extLst>
              <c:ext xmlns:c16="http://schemas.microsoft.com/office/drawing/2014/chart" uri="{C3380CC4-5D6E-409C-BE32-E72D297353CC}">
                <c16:uniqueId val="{0000000B-7EA9-4D80-86F1-271478955B45}"/>
              </c:ext>
            </c:extLst>
          </c:dPt>
          <c:dPt>
            <c:idx val="7"/>
            <c:invertIfNegative val="0"/>
            <c:bubble3D val="0"/>
            <c:extLst>
              <c:ext xmlns:c16="http://schemas.microsoft.com/office/drawing/2014/chart" uri="{C3380CC4-5D6E-409C-BE32-E72D297353CC}">
                <c16:uniqueId val="{0000000C-7EA9-4D80-86F1-271478955B45}"/>
              </c:ext>
            </c:extLst>
          </c:dPt>
          <c:dPt>
            <c:idx val="8"/>
            <c:invertIfNegative val="0"/>
            <c:bubble3D val="0"/>
            <c:extLst>
              <c:ext xmlns:c16="http://schemas.microsoft.com/office/drawing/2014/chart" uri="{C3380CC4-5D6E-409C-BE32-E72D297353CC}">
                <c16:uniqueId val="{0000000D-7EA9-4D80-86F1-271478955B45}"/>
              </c:ext>
            </c:extLst>
          </c:dPt>
          <c:dPt>
            <c:idx val="9"/>
            <c:invertIfNegative val="0"/>
            <c:bubble3D val="0"/>
            <c:extLst>
              <c:ext xmlns:c16="http://schemas.microsoft.com/office/drawing/2014/chart" uri="{C3380CC4-5D6E-409C-BE32-E72D297353CC}">
                <c16:uniqueId val="{0000000E-7EA9-4D80-86F1-271478955B45}"/>
              </c:ext>
            </c:extLst>
          </c:dPt>
          <c:dPt>
            <c:idx val="10"/>
            <c:invertIfNegative val="0"/>
            <c:bubble3D val="0"/>
            <c:extLst>
              <c:ext xmlns:c16="http://schemas.microsoft.com/office/drawing/2014/chart" uri="{C3380CC4-5D6E-409C-BE32-E72D297353CC}">
                <c16:uniqueId val="{0000000F-7EA9-4D80-86F1-271478955B45}"/>
              </c:ext>
            </c:extLst>
          </c:dPt>
          <c:dPt>
            <c:idx val="11"/>
            <c:invertIfNegative val="0"/>
            <c:bubble3D val="0"/>
            <c:extLst>
              <c:ext xmlns:c16="http://schemas.microsoft.com/office/drawing/2014/chart" uri="{C3380CC4-5D6E-409C-BE32-E72D297353CC}">
                <c16:uniqueId val="{00000010-7EA9-4D80-86F1-271478955B45}"/>
              </c:ext>
            </c:extLst>
          </c:dPt>
          <c:dPt>
            <c:idx val="12"/>
            <c:invertIfNegative val="0"/>
            <c:bubble3D val="0"/>
            <c:extLst>
              <c:ext xmlns:c16="http://schemas.microsoft.com/office/drawing/2014/chart" uri="{C3380CC4-5D6E-409C-BE32-E72D297353CC}">
                <c16:uniqueId val="{00000011-7EA9-4D80-86F1-271478955B45}"/>
              </c:ext>
            </c:extLst>
          </c:dPt>
          <c:dPt>
            <c:idx val="13"/>
            <c:invertIfNegative val="0"/>
            <c:bubble3D val="0"/>
            <c:extLst>
              <c:ext xmlns:c16="http://schemas.microsoft.com/office/drawing/2014/chart" uri="{C3380CC4-5D6E-409C-BE32-E72D297353CC}">
                <c16:uniqueId val="{00000012-7EA9-4D80-86F1-271478955B45}"/>
              </c:ext>
            </c:extLst>
          </c:dPt>
          <c:dPt>
            <c:idx val="14"/>
            <c:invertIfNegative val="0"/>
            <c:bubble3D val="0"/>
            <c:extLst>
              <c:ext xmlns:c16="http://schemas.microsoft.com/office/drawing/2014/chart" uri="{C3380CC4-5D6E-409C-BE32-E72D297353CC}">
                <c16:uniqueId val="{00000013-7EA9-4D80-86F1-271478955B45}"/>
              </c:ext>
            </c:extLst>
          </c:dPt>
          <c:dPt>
            <c:idx val="15"/>
            <c:invertIfNegative val="0"/>
            <c:bubble3D val="0"/>
            <c:extLst>
              <c:ext xmlns:c16="http://schemas.microsoft.com/office/drawing/2014/chart" uri="{C3380CC4-5D6E-409C-BE32-E72D297353CC}">
                <c16:uniqueId val="{00000014-7EA9-4D80-86F1-271478955B45}"/>
              </c:ext>
            </c:extLst>
          </c:dPt>
          <c:dPt>
            <c:idx val="16"/>
            <c:invertIfNegative val="0"/>
            <c:bubble3D val="0"/>
            <c:extLst>
              <c:ext xmlns:c16="http://schemas.microsoft.com/office/drawing/2014/chart" uri="{C3380CC4-5D6E-409C-BE32-E72D297353CC}">
                <c16:uniqueId val="{00000015-7EA9-4D80-86F1-271478955B45}"/>
              </c:ext>
            </c:extLst>
          </c:dPt>
          <c:dPt>
            <c:idx val="17"/>
            <c:invertIfNegative val="0"/>
            <c:bubble3D val="0"/>
            <c:extLst>
              <c:ext xmlns:c16="http://schemas.microsoft.com/office/drawing/2014/chart" uri="{C3380CC4-5D6E-409C-BE32-E72D297353CC}">
                <c16:uniqueId val="{00000016-7EA9-4D80-86F1-271478955B45}"/>
              </c:ext>
            </c:extLst>
          </c:dPt>
          <c:dPt>
            <c:idx val="18"/>
            <c:invertIfNegative val="0"/>
            <c:bubble3D val="0"/>
            <c:extLst>
              <c:ext xmlns:c16="http://schemas.microsoft.com/office/drawing/2014/chart" uri="{C3380CC4-5D6E-409C-BE32-E72D297353CC}">
                <c16:uniqueId val="{00000017-7EA9-4D80-86F1-271478955B45}"/>
              </c:ext>
            </c:extLst>
          </c:dPt>
          <c:dPt>
            <c:idx val="19"/>
            <c:invertIfNegative val="0"/>
            <c:bubble3D val="0"/>
            <c:extLst>
              <c:ext xmlns:c16="http://schemas.microsoft.com/office/drawing/2014/chart" uri="{C3380CC4-5D6E-409C-BE32-E72D297353CC}">
                <c16:uniqueId val="{00000018-7EA9-4D80-86F1-271478955B45}"/>
              </c:ext>
            </c:extLst>
          </c:dPt>
          <c:cat>
            <c:strRef>
              <c:f>Pivot_tables.xlsx!$A$127:$A$132</c:f>
              <c:strCache>
                <c:ptCount val="5"/>
                <c:pt idx="0">
                  <c:v>18-24</c:v>
                </c:pt>
                <c:pt idx="1">
                  <c:v>25-34</c:v>
                </c:pt>
                <c:pt idx="2">
                  <c:v>35-44</c:v>
                </c:pt>
                <c:pt idx="3">
                  <c:v>45-54</c:v>
                </c:pt>
                <c:pt idx="4">
                  <c:v>55+</c:v>
                </c:pt>
              </c:strCache>
            </c:strRef>
          </c:cat>
          <c:val>
            <c:numRef>
              <c:f>Pivot_tables.xlsx!$B$127:$B$132</c:f>
              <c:numCache>
                <c:formatCode>General</c:formatCode>
                <c:ptCount val="5"/>
                <c:pt idx="0">
                  <c:v>59</c:v>
                </c:pt>
                <c:pt idx="1">
                  <c:v>78</c:v>
                </c:pt>
                <c:pt idx="2">
                  <c:v>54</c:v>
                </c:pt>
                <c:pt idx="3">
                  <c:v>32</c:v>
                </c:pt>
                <c:pt idx="4">
                  <c:v>23</c:v>
                </c:pt>
              </c:numCache>
            </c:numRef>
          </c:val>
          <c:extLst>
            <c:ext xmlns:c16="http://schemas.microsoft.com/office/drawing/2014/chart" uri="{C3380CC4-5D6E-409C-BE32-E72D297353CC}">
              <c16:uniqueId val="{00000019-7EA9-4D80-86F1-271478955B45}"/>
            </c:ext>
          </c:extLst>
        </c:ser>
        <c:ser>
          <c:idx val="1"/>
          <c:order val="1"/>
          <c:tx>
            <c:strRef>
              <c:f>Pivot_tables.xlsx!$C$125:$C$126</c:f>
              <c:strCache>
                <c:ptCount val="1"/>
                <c:pt idx="0">
                  <c:v>regular</c:v>
                </c:pt>
              </c:strCache>
            </c:strRef>
          </c:tx>
          <c:spPr>
            <a:solidFill>
              <a:srgbClr val="9F6D3F"/>
            </a:solidFill>
            <a:ln>
              <a:noFill/>
            </a:ln>
            <a:effectLst/>
          </c:spPr>
          <c:invertIfNegative val="0"/>
          <c:dPt>
            <c:idx val="0"/>
            <c:invertIfNegative val="0"/>
            <c:bubble3D val="0"/>
            <c:spPr>
              <a:solidFill>
                <a:srgbClr val="9F6D3F"/>
              </a:solidFill>
              <a:ln>
                <a:noFill/>
              </a:ln>
              <a:effectLst/>
            </c:spPr>
            <c:extLst>
              <c:ext xmlns:c16="http://schemas.microsoft.com/office/drawing/2014/chart" uri="{C3380CC4-5D6E-409C-BE32-E72D297353CC}">
                <c16:uniqueId val="{0000001A-A28F-4C47-861F-10BFF2AD18C3}"/>
              </c:ext>
            </c:extLst>
          </c:dPt>
          <c:dPt>
            <c:idx val="1"/>
            <c:invertIfNegative val="0"/>
            <c:bubble3D val="0"/>
            <c:spPr>
              <a:solidFill>
                <a:srgbClr val="9F6D3F"/>
              </a:solidFill>
              <a:ln>
                <a:noFill/>
              </a:ln>
              <a:effectLst/>
            </c:spPr>
            <c:extLst>
              <c:ext xmlns:c16="http://schemas.microsoft.com/office/drawing/2014/chart" uri="{C3380CC4-5D6E-409C-BE32-E72D297353CC}">
                <c16:uniqueId val="{0000001C-A28F-4C47-861F-10BFF2AD18C3}"/>
              </c:ext>
            </c:extLst>
          </c:dPt>
          <c:dPt>
            <c:idx val="2"/>
            <c:invertIfNegative val="0"/>
            <c:bubble3D val="0"/>
            <c:spPr>
              <a:solidFill>
                <a:srgbClr val="9F6D3F"/>
              </a:solidFill>
              <a:ln>
                <a:noFill/>
              </a:ln>
              <a:effectLst/>
            </c:spPr>
            <c:extLst>
              <c:ext xmlns:c16="http://schemas.microsoft.com/office/drawing/2014/chart" uri="{C3380CC4-5D6E-409C-BE32-E72D297353CC}">
                <c16:uniqueId val="{0000001E-A28F-4C47-861F-10BFF2AD18C3}"/>
              </c:ext>
            </c:extLst>
          </c:dPt>
          <c:dPt>
            <c:idx val="3"/>
            <c:invertIfNegative val="0"/>
            <c:bubble3D val="0"/>
            <c:spPr>
              <a:solidFill>
                <a:srgbClr val="9F6D3F"/>
              </a:solidFill>
              <a:ln>
                <a:noFill/>
              </a:ln>
              <a:effectLst/>
            </c:spPr>
            <c:extLst>
              <c:ext xmlns:c16="http://schemas.microsoft.com/office/drawing/2014/chart" uri="{C3380CC4-5D6E-409C-BE32-E72D297353CC}">
                <c16:uniqueId val="{00000020-A28F-4C47-861F-10BFF2AD18C3}"/>
              </c:ext>
            </c:extLst>
          </c:dPt>
          <c:dPt>
            <c:idx val="4"/>
            <c:invertIfNegative val="0"/>
            <c:bubble3D val="0"/>
            <c:spPr>
              <a:solidFill>
                <a:srgbClr val="9F6D3F"/>
              </a:solidFill>
              <a:ln>
                <a:noFill/>
              </a:ln>
              <a:effectLst/>
            </c:spPr>
            <c:extLst>
              <c:ext xmlns:c16="http://schemas.microsoft.com/office/drawing/2014/chart" uri="{C3380CC4-5D6E-409C-BE32-E72D297353CC}">
                <c16:uniqueId val="{00000022-A28F-4C47-861F-10BFF2AD18C3}"/>
              </c:ext>
            </c:extLst>
          </c:dPt>
          <c:cat>
            <c:strRef>
              <c:f>Pivot_tables.xlsx!$A$127:$A$132</c:f>
              <c:strCache>
                <c:ptCount val="5"/>
                <c:pt idx="0">
                  <c:v>18-24</c:v>
                </c:pt>
                <c:pt idx="1">
                  <c:v>25-34</c:v>
                </c:pt>
                <c:pt idx="2">
                  <c:v>35-44</c:v>
                </c:pt>
                <c:pt idx="3">
                  <c:v>45-54</c:v>
                </c:pt>
                <c:pt idx="4">
                  <c:v>55+</c:v>
                </c:pt>
              </c:strCache>
            </c:strRef>
          </c:cat>
          <c:val>
            <c:numRef>
              <c:f>Pivot_tables.xlsx!$C$127:$C$132</c:f>
              <c:numCache>
                <c:formatCode>General</c:formatCode>
                <c:ptCount val="5"/>
                <c:pt idx="0">
                  <c:v>74</c:v>
                </c:pt>
                <c:pt idx="1">
                  <c:v>72</c:v>
                </c:pt>
                <c:pt idx="2">
                  <c:v>57</c:v>
                </c:pt>
                <c:pt idx="3">
                  <c:v>36</c:v>
                </c:pt>
                <c:pt idx="4">
                  <c:v>18</c:v>
                </c:pt>
              </c:numCache>
            </c:numRef>
          </c:val>
          <c:extLst>
            <c:ext xmlns:c16="http://schemas.microsoft.com/office/drawing/2014/chart" uri="{C3380CC4-5D6E-409C-BE32-E72D297353CC}">
              <c16:uniqueId val="{0000003D-230E-428B-9778-9260E0EAE085}"/>
            </c:ext>
          </c:extLst>
        </c:ser>
        <c:ser>
          <c:idx val="2"/>
          <c:order val="2"/>
          <c:tx>
            <c:strRef>
              <c:f>Pivot_tables.xlsx!$D$125:$D$126</c:f>
              <c:strCache>
                <c:ptCount val="1"/>
                <c:pt idx="0">
                  <c:v>sugar-free</c:v>
                </c:pt>
              </c:strCache>
            </c:strRef>
          </c:tx>
          <c:spPr>
            <a:solidFill>
              <a:srgbClr val="86A653"/>
            </a:solidFill>
            <a:ln>
              <a:noFill/>
            </a:ln>
            <a:effectLst/>
          </c:spPr>
          <c:invertIfNegative val="0"/>
          <c:dPt>
            <c:idx val="0"/>
            <c:invertIfNegative val="0"/>
            <c:bubble3D val="0"/>
            <c:spPr>
              <a:solidFill>
                <a:srgbClr val="86A653"/>
              </a:solidFill>
              <a:ln>
                <a:noFill/>
              </a:ln>
              <a:effectLst/>
            </c:spPr>
            <c:extLst>
              <c:ext xmlns:c16="http://schemas.microsoft.com/office/drawing/2014/chart" uri="{C3380CC4-5D6E-409C-BE32-E72D297353CC}">
                <c16:uniqueId val="{00000024-A28F-4C47-861F-10BFF2AD18C3}"/>
              </c:ext>
            </c:extLst>
          </c:dPt>
          <c:dPt>
            <c:idx val="1"/>
            <c:invertIfNegative val="0"/>
            <c:bubble3D val="0"/>
            <c:spPr>
              <a:solidFill>
                <a:srgbClr val="86A653"/>
              </a:solidFill>
              <a:ln>
                <a:noFill/>
              </a:ln>
              <a:effectLst/>
            </c:spPr>
            <c:extLst>
              <c:ext xmlns:c16="http://schemas.microsoft.com/office/drawing/2014/chart" uri="{C3380CC4-5D6E-409C-BE32-E72D297353CC}">
                <c16:uniqueId val="{00000026-A28F-4C47-861F-10BFF2AD18C3}"/>
              </c:ext>
            </c:extLst>
          </c:dPt>
          <c:dPt>
            <c:idx val="2"/>
            <c:invertIfNegative val="0"/>
            <c:bubble3D val="0"/>
            <c:spPr>
              <a:solidFill>
                <a:srgbClr val="86A653"/>
              </a:solidFill>
              <a:ln>
                <a:noFill/>
              </a:ln>
              <a:effectLst/>
            </c:spPr>
            <c:extLst>
              <c:ext xmlns:c16="http://schemas.microsoft.com/office/drawing/2014/chart" uri="{C3380CC4-5D6E-409C-BE32-E72D297353CC}">
                <c16:uniqueId val="{00000028-A28F-4C47-861F-10BFF2AD18C3}"/>
              </c:ext>
            </c:extLst>
          </c:dPt>
          <c:dPt>
            <c:idx val="3"/>
            <c:invertIfNegative val="0"/>
            <c:bubble3D val="0"/>
            <c:spPr>
              <a:solidFill>
                <a:srgbClr val="86A653"/>
              </a:solidFill>
              <a:ln>
                <a:noFill/>
              </a:ln>
              <a:effectLst/>
            </c:spPr>
            <c:extLst>
              <c:ext xmlns:c16="http://schemas.microsoft.com/office/drawing/2014/chart" uri="{C3380CC4-5D6E-409C-BE32-E72D297353CC}">
                <c16:uniqueId val="{0000002A-A28F-4C47-861F-10BFF2AD18C3}"/>
              </c:ext>
            </c:extLst>
          </c:dPt>
          <c:dPt>
            <c:idx val="4"/>
            <c:invertIfNegative val="0"/>
            <c:bubble3D val="0"/>
            <c:spPr>
              <a:solidFill>
                <a:srgbClr val="86A653"/>
              </a:solidFill>
              <a:ln>
                <a:noFill/>
              </a:ln>
              <a:effectLst/>
            </c:spPr>
            <c:extLst>
              <c:ext xmlns:c16="http://schemas.microsoft.com/office/drawing/2014/chart" uri="{C3380CC4-5D6E-409C-BE32-E72D297353CC}">
                <c16:uniqueId val="{0000002C-A28F-4C47-861F-10BFF2AD18C3}"/>
              </c:ext>
            </c:extLst>
          </c:dPt>
          <c:cat>
            <c:strRef>
              <c:f>Pivot_tables.xlsx!$A$127:$A$132</c:f>
              <c:strCache>
                <c:ptCount val="5"/>
                <c:pt idx="0">
                  <c:v>18-24</c:v>
                </c:pt>
                <c:pt idx="1">
                  <c:v>25-34</c:v>
                </c:pt>
                <c:pt idx="2">
                  <c:v>35-44</c:v>
                </c:pt>
                <c:pt idx="3">
                  <c:v>45-54</c:v>
                </c:pt>
                <c:pt idx="4">
                  <c:v>55+</c:v>
                </c:pt>
              </c:strCache>
            </c:strRef>
          </c:cat>
          <c:val>
            <c:numRef>
              <c:f>Pivot_tables.xlsx!$D$127:$D$132</c:f>
              <c:numCache>
                <c:formatCode>General</c:formatCode>
                <c:ptCount val="5"/>
                <c:pt idx="0">
                  <c:v>65</c:v>
                </c:pt>
                <c:pt idx="1">
                  <c:v>77</c:v>
                </c:pt>
                <c:pt idx="2">
                  <c:v>54</c:v>
                </c:pt>
                <c:pt idx="3">
                  <c:v>47</c:v>
                </c:pt>
                <c:pt idx="4">
                  <c:v>18</c:v>
                </c:pt>
              </c:numCache>
            </c:numRef>
          </c:val>
          <c:extLst>
            <c:ext xmlns:c16="http://schemas.microsoft.com/office/drawing/2014/chart" uri="{C3380CC4-5D6E-409C-BE32-E72D297353CC}">
              <c16:uniqueId val="{0000003E-230E-428B-9778-9260E0EAE085}"/>
            </c:ext>
          </c:extLst>
        </c:ser>
        <c:ser>
          <c:idx val="3"/>
          <c:order val="3"/>
          <c:tx>
            <c:strRef>
              <c:f>Pivot_tables.xlsx!$E$125:$E$126</c:f>
              <c:strCache>
                <c:ptCount val="1"/>
                <c:pt idx="0">
                  <c:v>vegan</c:v>
                </c:pt>
              </c:strCache>
            </c:strRef>
          </c:tx>
          <c:spPr>
            <a:solidFill>
              <a:srgbClr val="A5D6A7"/>
            </a:solidFill>
            <a:ln>
              <a:noFill/>
            </a:ln>
            <a:effectLst/>
          </c:spPr>
          <c:invertIfNegative val="0"/>
          <c:dPt>
            <c:idx val="0"/>
            <c:invertIfNegative val="0"/>
            <c:bubble3D val="0"/>
            <c:spPr>
              <a:solidFill>
                <a:srgbClr val="A5D6A7"/>
              </a:solidFill>
              <a:ln>
                <a:noFill/>
              </a:ln>
              <a:effectLst/>
            </c:spPr>
          </c:dPt>
          <c:dPt>
            <c:idx val="1"/>
            <c:invertIfNegative val="0"/>
            <c:bubble3D val="0"/>
            <c:spPr>
              <a:solidFill>
                <a:srgbClr val="A5D6A7"/>
              </a:solidFill>
              <a:ln>
                <a:noFill/>
              </a:ln>
              <a:effectLst/>
            </c:spPr>
          </c:dPt>
          <c:dPt>
            <c:idx val="2"/>
            <c:invertIfNegative val="0"/>
            <c:bubble3D val="0"/>
            <c:spPr>
              <a:solidFill>
                <a:srgbClr val="A5D6A7"/>
              </a:solidFill>
              <a:ln>
                <a:noFill/>
              </a:ln>
              <a:effectLst/>
            </c:spPr>
          </c:dPt>
          <c:dPt>
            <c:idx val="3"/>
            <c:invertIfNegative val="0"/>
            <c:bubble3D val="0"/>
            <c:spPr>
              <a:solidFill>
                <a:srgbClr val="A5D6A7"/>
              </a:solidFill>
              <a:ln>
                <a:noFill/>
              </a:ln>
              <a:effectLst/>
            </c:spPr>
          </c:dPt>
          <c:dPt>
            <c:idx val="4"/>
            <c:invertIfNegative val="0"/>
            <c:bubble3D val="0"/>
            <c:spPr>
              <a:solidFill>
                <a:srgbClr val="A5D6A7"/>
              </a:solidFill>
              <a:ln>
                <a:noFill/>
              </a:ln>
              <a:effectLst/>
            </c:spPr>
          </c:dPt>
          <c:cat>
            <c:strRef>
              <c:f>Pivot_tables.xlsx!$A$127:$A$132</c:f>
              <c:strCache>
                <c:ptCount val="5"/>
                <c:pt idx="0">
                  <c:v>18-24</c:v>
                </c:pt>
                <c:pt idx="1">
                  <c:v>25-34</c:v>
                </c:pt>
                <c:pt idx="2">
                  <c:v>35-44</c:v>
                </c:pt>
                <c:pt idx="3">
                  <c:v>45-54</c:v>
                </c:pt>
                <c:pt idx="4">
                  <c:v>55+</c:v>
                </c:pt>
              </c:strCache>
            </c:strRef>
          </c:cat>
          <c:val>
            <c:numRef>
              <c:f>Pivot_tables.xlsx!$E$127:$E$132</c:f>
              <c:numCache>
                <c:formatCode>General</c:formatCode>
                <c:ptCount val="5"/>
                <c:pt idx="0">
                  <c:v>65</c:v>
                </c:pt>
                <c:pt idx="1">
                  <c:v>61</c:v>
                </c:pt>
                <c:pt idx="2">
                  <c:v>46</c:v>
                </c:pt>
                <c:pt idx="3">
                  <c:v>35</c:v>
                </c:pt>
                <c:pt idx="4">
                  <c:v>29</c:v>
                </c:pt>
              </c:numCache>
            </c:numRef>
          </c:val>
          <c:extLst>
            <c:ext xmlns:c16="http://schemas.microsoft.com/office/drawing/2014/chart" uri="{C3380CC4-5D6E-409C-BE32-E72D297353CC}">
              <c16:uniqueId val="{00000039-B1F6-4E67-82CB-CD223D3B1F61}"/>
            </c:ext>
          </c:extLst>
        </c:ser>
        <c:dLbls>
          <c:showLegendKey val="0"/>
          <c:showVal val="0"/>
          <c:showCatName val="0"/>
          <c:showSerName val="0"/>
          <c:showPercent val="0"/>
          <c:showBubbleSize val="0"/>
        </c:dLbls>
        <c:gapWidth val="200"/>
        <c:overlap val="-35"/>
        <c:axId val="400865152"/>
        <c:axId val="400866816"/>
      </c:barChart>
      <c:catAx>
        <c:axId val="400865152"/>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wrap="square" anchor="ctr" anchorCtr="0"/>
          <a:lstStyle/>
          <a:p>
            <a:pPr>
              <a:defRPr sz="1400" b="0" i="0" u="none" strike="noStrike" kern="1200" baseline="0">
                <a:solidFill>
                  <a:schemeClr val="tx1">
                    <a:lumMod val="65000"/>
                    <a:lumOff val="35000"/>
                  </a:schemeClr>
                </a:solidFill>
                <a:latin typeface="+mn-lt"/>
                <a:ea typeface="+mn-ea"/>
                <a:cs typeface="+mn-cs"/>
              </a:defRPr>
            </a:pPr>
            <a:endParaRPr lang="en-US"/>
          </a:p>
        </c:txPr>
        <c:crossAx val="400866816"/>
        <c:crosses val="autoZero"/>
        <c:auto val="1"/>
        <c:lblAlgn val="ctr"/>
        <c:lblOffset val="50"/>
        <c:noMultiLvlLbl val="0"/>
      </c:catAx>
      <c:valAx>
        <c:axId val="400866816"/>
        <c:scaling>
          <c:orientation val="minMax"/>
        </c:scaling>
        <c:delete val="1"/>
        <c:axPos val="l"/>
        <c:numFmt formatCode="General" sourceLinked="1"/>
        <c:majorTickMark val="none"/>
        <c:minorTickMark val="none"/>
        <c:tickLblPos val="nextTo"/>
        <c:crossAx val="400865152"/>
        <c:crosses val="autoZero"/>
        <c:crossBetween val="between"/>
      </c:valAx>
      <c:spPr>
        <a:noFill/>
        <a:ln>
          <a:noFill/>
        </a:ln>
        <a:effectLst/>
      </c:spPr>
    </c:plotArea>
    <c:legend>
      <c:legendPos val="r"/>
      <c:layout>
        <c:manualLayout>
          <c:xMode val="edge"/>
          <c:yMode val="edge"/>
          <c:x val="0.77601190776871587"/>
          <c:y val="6.5205959897357071E-2"/>
          <c:w val="0.17693241170521501"/>
          <c:h val="0.502330261122132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Dashboard.xlsx]Pivot_tables.xlsx!coffee consume vs spending</c:name>
    <c:fmtId val="2"/>
  </c:pivotSource>
  <c:chart>
    <c:title>
      <c:tx>
        <c:rich>
          <a:bodyPr rot="0" spcFirstLastPara="1" vertOverflow="ellipsis" vert="horz" wrap="square" anchor="t" anchorCtr="0"/>
          <a:lstStyle/>
          <a:p>
            <a:pPr rtl="0">
              <a:defRPr lang="en-US" sz="1600" b="0" i="0" u="none" strike="noStrike" kern="1200" spc="0" baseline="0">
                <a:solidFill>
                  <a:schemeClr val="bg2">
                    <a:lumMod val="50000"/>
                  </a:schemeClr>
                </a:solidFill>
                <a:effectLst/>
                <a:latin typeface="+mn-lt"/>
                <a:ea typeface="+mn-ea"/>
                <a:cs typeface="+mn-cs"/>
              </a:defRPr>
            </a:pPr>
            <a:r>
              <a:rPr lang="en-US" sz="1600" b="0" i="0" baseline="0">
                <a:solidFill>
                  <a:schemeClr val="bg2">
                    <a:lumMod val="25000"/>
                  </a:schemeClr>
                </a:solidFill>
                <a:effectLst/>
              </a:rPr>
              <a:t>Coffee intake vs spending by Proffesion (Daily)</a:t>
            </a:r>
          </a:p>
        </c:rich>
      </c:tx>
      <c:layout>
        <c:manualLayout>
          <c:xMode val="edge"/>
          <c:yMode val="edge"/>
          <c:x val="0.29186054857817462"/>
          <c:y val="4.0750646154438533E-2"/>
        </c:manualLayout>
      </c:layout>
      <c:overlay val="0"/>
      <c:spPr>
        <a:noFill/>
        <a:ln w="0">
          <a:noFill/>
        </a:ln>
        <a:effectLst/>
      </c:spPr>
      <c:txPr>
        <a:bodyPr rot="0" spcFirstLastPara="1" vertOverflow="ellipsis" vert="horz" wrap="square" anchor="t" anchorCtr="0"/>
        <a:lstStyle/>
        <a:p>
          <a:pPr rtl="0">
            <a:defRPr lang="en-US" sz="1600" b="0" i="0" u="none" strike="noStrike" kern="1200" spc="0" baseline="0">
              <a:solidFill>
                <a:schemeClr val="bg2">
                  <a:lumMod val="50000"/>
                </a:schemeClr>
              </a:solidFill>
              <a:effectLst/>
              <a:latin typeface="+mn-lt"/>
              <a:ea typeface="+mn-ea"/>
              <a:cs typeface="+mn-cs"/>
            </a:defRPr>
          </a:pPr>
          <a:endParaRPr lang="en-US"/>
        </a:p>
      </c:txPr>
    </c:title>
    <c:autoTitleDeleted val="0"/>
    <c:pivotFmts>
      <c:pivotFmt>
        <c:idx val="0"/>
        <c:spPr>
          <a:solidFill>
            <a:srgbClr val="F4A2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A2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4A2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Pivot_tables.xlsx!$B$26</c:f>
              <c:strCache>
                <c:ptCount val="1"/>
                <c:pt idx="0">
                  <c:v>Average of cups_per_day</c:v>
                </c:pt>
              </c:strCache>
            </c:strRef>
          </c:tx>
          <c:spPr>
            <a:solidFill>
              <a:srgbClr val="F4A261"/>
            </a:solidFill>
            <a:ln>
              <a:noFill/>
            </a:ln>
            <a:effectLst/>
          </c:spPr>
          <c:invertIfNegative val="0"/>
          <c:cat>
            <c:strRef>
              <c:f>Pivot_tables.xlsx!$A$27:$A$37</c:f>
              <c:strCache>
                <c:ptCount val="10"/>
                <c:pt idx="0">
                  <c:v>Bank Employee</c:v>
                </c:pt>
                <c:pt idx="1">
                  <c:v>Business Owner</c:v>
                </c:pt>
                <c:pt idx="2">
                  <c:v>Engineer</c:v>
                </c:pt>
                <c:pt idx="3">
                  <c:v>Freelancer</c:v>
                </c:pt>
                <c:pt idx="4">
                  <c:v>Government Employee</c:v>
                </c:pt>
                <c:pt idx="5">
                  <c:v>Healthcare Worker</c:v>
                </c:pt>
                <c:pt idx="6">
                  <c:v>IT Professional</c:v>
                </c:pt>
                <c:pt idx="7">
                  <c:v>Sales Executive</c:v>
                </c:pt>
                <c:pt idx="8">
                  <c:v>Student</c:v>
                </c:pt>
                <c:pt idx="9">
                  <c:v>Teacher</c:v>
                </c:pt>
              </c:strCache>
            </c:strRef>
          </c:cat>
          <c:val>
            <c:numRef>
              <c:f>Pivot_tables.xlsx!$B$27:$B$37</c:f>
              <c:numCache>
                <c:formatCode>0.00</c:formatCode>
                <c:ptCount val="10"/>
                <c:pt idx="0">
                  <c:v>1.5775773195876293</c:v>
                </c:pt>
                <c:pt idx="1">
                  <c:v>1.5916666666666668</c:v>
                </c:pt>
                <c:pt idx="2">
                  <c:v>1.5551470588235294</c:v>
                </c:pt>
                <c:pt idx="3">
                  <c:v>1.5914141414141409</c:v>
                </c:pt>
                <c:pt idx="4">
                  <c:v>1.4545652173913046</c:v>
                </c:pt>
                <c:pt idx="5">
                  <c:v>1.5120879120879123</c:v>
                </c:pt>
                <c:pt idx="6">
                  <c:v>1.55530303030303</c:v>
                </c:pt>
                <c:pt idx="7">
                  <c:v>1.58515625</c:v>
                </c:pt>
                <c:pt idx="8">
                  <c:v>1.5017500000000004</c:v>
                </c:pt>
                <c:pt idx="9">
                  <c:v>1.3870370370370368</c:v>
                </c:pt>
              </c:numCache>
            </c:numRef>
          </c:val>
          <c:extLst>
            <c:ext xmlns:c16="http://schemas.microsoft.com/office/drawing/2014/chart" uri="{C3380CC4-5D6E-409C-BE32-E72D297353CC}">
              <c16:uniqueId val="{00000000-D2EE-4B8C-AA57-7986284DA7C3}"/>
            </c:ext>
          </c:extLst>
        </c:ser>
        <c:dLbls>
          <c:showLegendKey val="0"/>
          <c:showVal val="0"/>
          <c:showCatName val="0"/>
          <c:showSerName val="0"/>
          <c:showPercent val="0"/>
          <c:showBubbleSize val="0"/>
        </c:dLbls>
        <c:gapWidth val="219"/>
        <c:axId val="2136388176"/>
        <c:axId val="2136388592"/>
      </c:barChart>
      <c:lineChart>
        <c:grouping val="standard"/>
        <c:varyColors val="0"/>
        <c:ser>
          <c:idx val="1"/>
          <c:order val="1"/>
          <c:tx>
            <c:strRef>
              <c:f>Pivot_tables.xlsx!$C$26</c:f>
              <c:strCache>
                <c:ptCount val="1"/>
                <c:pt idx="0">
                  <c:v>Sum of average_spend_per_month_inr</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Pivot_tables.xlsx!$A$27:$A$37</c:f>
              <c:strCache>
                <c:ptCount val="10"/>
                <c:pt idx="0">
                  <c:v>Bank Employee</c:v>
                </c:pt>
                <c:pt idx="1">
                  <c:v>Business Owner</c:v>
                </c:pt>
                <c:pt idx="2">
                  <c:v>Engineer</c:v>
                </c:pt>
                <c:pt idx="3">
                  <c:v>Freelancer</c:v>
                </c:pt>
                <c:pt idx="4">
                  <c:v>Government Employee</c:v>
                </c:pt>
                <c:pt idx="5">
                  <c:v>Healthcare Worker</c:v>
                </c:pt>
                <c:pt idx="6">
                  <c:v>IT Professional</c:v>
                </c:pt>
                <c:pt idx="7">
                  <c:v>Sales Executive</c:v>
                </c:pt>
                <c:pt idx="8">
                  <c:v>Student</c:v>
                </c:pt>
                <c:pt idx="9">
                  <c:v>Teacher</c:v>
                </c:pt>
              </c:strCache>
            </c:strRef>
          </c:cat>
          <c:val>
            <c:numRef>
              <c:f>Pivot_tables.xlsx!$C$27:$C$37</c:f>
              <c:numCache>
                <c:formatCode>General</c:formatCode>
                <c:ptCount val="10"/>
                <c:pt idx="0">
                  <c:v>73150</c:v>
                </c:pt>
                <c:pt idx="1">
                  <c:v>64608</c:v>
                </c:pt>
                <c:pt idx="2">
                  <c:v>80132</c:v>
                </c:pt>
                <c:pt idx="3">
                  <c:v>75984</c:v>
                </c:pt>
                <c:pt idx="4">
                  <c:v>82311</c:v>
                </c:pt>
                <c:pt idx="5">
                  <c:v>67500</c:v>
                </c:pt>
                <c:pt idx="6">
                  <c:v>68151</c:v>
                </c:pt>
                <c:pt idx="7">
                  <c:v>71881</c:v>
                </c:pt>
                <c:pt idx="8">
                  <c:v>79751</c:v>
                </c:pt>
                <c:pt idx="9">
                  <c:v>78455</c:v>
                </c:pt>
              </c:numCache>
            </c:numRef>
          </c:val>
          <c:smooth val="0"/>
          <c:extLst>
            <c:ext xmlns:c16="http://schemas.microsoft.com/office/drawing/2014/chart" uri="{C3380CC4-5D6E-409C-BE32-E72D297353CC}">
              <c16:uniqueId val="{00000001-D2EE-4B8C-AA57-7986284DA7C3}"/>
            </c:ext>
          </c:extLst>
        </c:ser>
        <c:dLbls>
          <c:showLegendKey val="0"/>
          <c:showVal val="0"/>
          <c:showCatName val="0"/>
          <c:showSerName val="0"/>
          <c:showPercent val="0"/>
          <c:showBubbleSize val="0"/>
        </c:dLbls>
        <c:marker val="1"/>
        <c:smooth val="0"/>
        <c:axId val="2136386512"/>
        <c:axId val="2136389840"/>
      </c:lineChart>
      <c:catAx>
        <c:axId val="2136388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88592"/>
        <c:crosses val="autoZero"/>
        <c:auto val="1"/>
        <c:lblAlgn val="ctr"/>
        <c:lblOffset val="100"/>
        <c:noMultiLvlLbl val="0"/>
      </c:catAx>
      <c:valAx>
        <c:axId val="213638859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88176"/>
        <c:crosses val="autoZero"/>
        <c:crossBetween val="between"/>
      </c:valAx>
      <c:valAx>
        <c:axId val="21363898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86512"/>
        <c:crosses val="max"/>
        <c:crossBetween val="between"/>
      </c:valAx>
      <c:catAx>
        <c:axId val="2136386512"/>
        <c:scaling>
          <c:orientation val="minMax"/>
        </c:scaling>
        <c:delete val="1"/>
        <c:axPos val="t"/>
        <c:numFmt formatCode="General" sourceLinked="1"/>
        <c:majorTickMark val="out"/>
        <c:minorTickMark val="none"/>
        <c:tickLblPos val="nextTo"/>
        <c:crossAx val="2136389840"/>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Consumption Dashboard.xlsx]Pivot_tables.xlsx!favourite coffeetype</c:name>
    <c:fmtId val="6"/>
  </c:pivotSource>
  <c:chart>
    <c:title>
      <c:tx>
        <c:rich>
          <a:bodyPr rot="0" spcFirstLastPara="1" vertOverflow="ellipsis" vert="horz" wrap="square" anchor="ctr" anchorCtr="1"/>
          <a:lstStyle/>
          <a:p>
            <a:pPr algn="ctr" rtl="0">
              <a:defRPr lang="en-US" sz="1600" b="0" i="0" u="none" strike="noStrike" kern="1200" spc="0" baseline="0">
                <a:solidFill>
                  <a:sysClr val="windowText" lastClr="000000">
                    <a:lumMod val="65000"/>
                    <a:lumOff val="35000"/>
                  </a:sysClr>
                </a:solidFill>
                <a:effectLst/>
                <a:latin typeface="+mn-lt"/>
                <a:ea typeface="+mn-ea"/>
                <a:cs typeface="+mn-cs"/>
              </a:defRPr>
            </a:pPr>
            <a:r>
              <a:rPr lang="en-US" sz="1600" b="0" i="0" u="none" strike="noStrike" kern="1200" spc="0" baseline="0">
                <a:solidFill>
                  <a:sysClr val="windowText" lastClr="000000">
                    <a:lumMod val="65000"/>
                    <a:lumOff val="35000"/>
                  </a:sysClr>
                </a:solidFill>
                <a:effectLst/>
                <a:latin typeface="+mn-lt"/>
                <a:ea typeface="+mn-ea"/>
                <a:cs typeface="+mn-cs"/>
              </a:rPr>
              <a:t>Favourite Coffee Type</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pivotFmt>
      <c:pivotFmt>
        <c:idx val="5"/>
        <c:spPr>
          <a:solidFill>
            <a:srgbClr val="843C0C"/>
          </a:solidFill>
          <a:ln>
            <a:noFill/>
          </a:ln>
          <a:effectLst/>
        </c:spPr>
      </c:pivotFmt>
      <c:pivotFmt>
        <c:idx val="6"/>
        <c:spPr>
          <a:solidFill>
            <a:srgbClr val="B86950"/>
          </a:solidFill>
          <a:ln>
            <a:noFill/>
          </a:ln>
          <a:effectLst/>
        </c:spPr>
      </c:pivotFmt>
      <c:pivotFmt>
        <c:idx val="7"/>
        <c:spPr>
          <a:solidFill>
            <a:srgbClr val="B86950"/>
          </a:solidFill>
          <a:ln>
            <a:noFill/>
          </a:ln>
          <a:effectLst/>
        </c:spPr>
      </c:pivotFmt>
      <c:pivotFmt>
        <c:idx val="8"/>
        <c:spPr>
          <a:solidFill>
            <a:srgbClr val="B86950"/>
          </a:solidFill>
          <a:ln>
            <a:noFill/>
          </a:ln>
          <a:effectLst/>
        </c:spPr>
      </c:pivotFmt>
      <c:pivotFmt>
        <c:idx val="9"/>
        <c:spPr>
          <a:solidFill>
            <a:srgbClr val="B86950"/>
          </a:solidFill>
          <a:ln>
            <a:noFill/>
          </a:ln>
          <a:effectLst/>
        </c:spPr>
      </c:pivotFmt>
      <c:pivotFmt>
        <c:idx val="10"/>
        <c:spPr>
          <a:solidFill>
            <a:srgbClr val="843C0C"/>
          </a:solidFill>
          <a:ln>
            <a:noFill/>
          </a:ln>
          <a:effectLst/>
        </c:spPr>
      </c:pivotFmt>
      <c:pivotFmt>
        <c:idx val="1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43C0C"/>
          </a:solidFill>
          <a:ln>
            <a:noFill/>
          </a:ln>
          <a:effectLst/>
        </c:spPr>
      </c:pivotFmt>
      <c:pivotFmt>
        <c:idx val="13"/>
        <c:spPr>
          <a:solidFill>
            <a:srgbClr val="B86950"/>
          </a:solidFill>
          <a:ln>
            <a:noFill/>
          </a:ln>
          <a:effectLst/>
        </c:spPr>
      </c:pivotFmt>
      <c:pivotFmt>
        <c:idx val="14"/>
        <c:spPr>
          <a:solidFill>
            <a:srgbClr val="B86950"/>
          </a:solidFill>
          <a:ln>
            <a:noFill/>
          </a:ln>
          <a:effectLst/>
        </c:spPr>
      </c:pivotFmt>
      <c:pivotFmt>
        <c:idx val="15"/>
        <c:spPr>
          <a:solidFill>
            <a:srgbClr val="B86950"/>
          </a:solidFill>
          <a:ln>
            <a:noFill/>
          </a:ln>
          <a:effectLst/>
        </c:spPr>
      </c:pivotFmt>
      <c:pivotFmt>
        <c:idx val="16"/>
        <c:spPr>
          <a:solidFill>
            <a:srgbClr val="843C0C"/>
          </a:solidFill>
          <a:ln>
            <a:noFill/>
          </a:ln>
          <a:effectLst/>
        </c:spPr>
      </c:pivotFmt>
      <c:pivotFmt>
        <c:idx val="17"/>
        <c:spPr>
          <a:solidFill>
            <a:srgbClr val="B86950"/>
          </a:solidFill>
          <a:ln>
            <a:noFill/>
          </a:ln>
          <a:effectLst/>
        </c:spPr>
      </c:pivotFmt>
      <c:pivotFmt>
        <c:idx val="1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843C0C"/>
          </a:solidFill>
          <a:ln>
            <a:noFill/>
          </a:ln>
          <a:effectLst/>
        </c:spPr>
      </c:pivotFmt>
      <c:pivotFmt>
        <c:idx val="20"/>
        <c:spPr>
          <a:solidFill>
            <a:srgbClr val="843C0C"/>
          </a:solidFill>
          <a:ln>
            <a:noFill/>
          </a:ln>
          <a:effectLst/>
        </c:spPr>
      </c:pivotFmt>
      <c:pivotFmt>
        <c:idx val="21"/>
        <c:spPr>
          <a:solidFill>
            <a:srgbClr val="B86950"/>
          </a:solidFill>
          <a:ln>
            <a:noFill/>
          </a:ln>
          <a:effectLst/>
        </c:spPr>
      </c:pivotFmt>
      <c:pivotFmt>
        <c:idx val="22"/>
        <c:spPr>
          <a:solidFill>
            <a:srgbClr val="B86950"/>
          </a:solidFill>
          <a:ln>
            <a:noFill/>
          </a:ln>
          <a:effectLst/>
        </c:spPr>
      </c:pivotFmt>
      <c:pivotFmt>
        <c:idx val="23"/>
        <c:spPr>
          <a:solidFill>
            <a:srgbClr val="B86950"/>
          </a:solidFill>
          <a:ln>
            <a:noFill/>
          </a:ln>
          <a:effectLst/>
        </c:spPr>
      </c:pivotFmt>
      <c:pivotFmt>
        <c:idx val="24"/>
        <c:spPr>
          <a:solidFill>
            <a:srgbClr val="B86950"/>
          </a:solidFill>
          <a:ln>
            <a:noFill/>
          </a:ln>
          <a:effectLst/>
        </c:spPr>
      </c:pivotFmt>
    </c:pivotFmts>
    <c:plotArea>
      <c:layout>
        <c:manualLayout>
          <c:layoutTarget val="inner"/>
          <c:xMode val="edge"/>
          <c:yMode val="edge"/>
          <c:x val="0.22068189632095966"/>
          <c:y val="0.19480474731096348"/>
          <c:w val="0.77535583941036512"/>
          <c:h val="0.76850716379701889"/>
        </c:manualLayout>
      </c:layout>
      <c:barChart>
        <c:barDir val="bar"/>
        <c:grouping val="clustered"/>
        <c:varyColors val="0"/>
        <c:ser>
          <c:idx val="0"/>
          <c:order val="0"/>
          <c:tx>
            <c:strRef>
              <c:f>Pivot_tables.xlsx!$B$45</c:f>
              <c:strCache>
                <c:ptCount val="1"/>
                <c:pt idx="0">
                  <c:v>Total</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0-36C7-4C8A-9D62-5913A7FB2766}"/>
              </c:ext>
            </c:extLst>
          </c:dPt>
          <c:dPt>
            <c:idx val="1"/>
            <c:invertIfNegative val="0"/>
            <c:bubble3D val="0"/>
            <c:spPr>
              <a:solidFill>
                <a:srgbClr val="843C0C"/>
              </a:solidFill>
              <a:ln>
                <a:noFill/>
              </a:ln>
              <a:effectLst/>
            </c:spPr>
            <c:extLst>
              <c:ext xmlns:c16="http://schemas.microsoft.com/office/drawing/2014/chart" uri="{C3380CC4-5D6E-409C-BE32-E72D297353CC}">
                <c16:uniqueId val="{00000002-36C7-4C8A-9D62-5913A7FB2766}"/>
              </c:ext>
            </c:extLst>
          </c:dPt>
          <c:dPt>
            <c:idx val="2"/>
            <c:invertIfNegative val="0"/>
            <c:bubble3D val="0"/>
            <c:extLst>
              <c:ext xmlns:c16="http://schemas.microsoft.com/office/drawing/2014/chart" uri="{C3380CC4-5D6E-409C-BE32-E72D297353CC}">
                <c16:uniqueId val="{00000003-36C7-4C8A-9D62-5913A7FB2766}"/>
              </c:ext>
            </c:extLst>
          </c:dPt>
          <c:dPt>
            <c:idx val="3"/>
            <c:invertIfNegative val="0"/>
            <c:bubble3D val="0"/>
            <c:spPr>
              <a:solidFill>
                <a:srgbClr val="843C0C"/>
              </a:solidFill>
              <a:ln>
                <a:noFill/>
              </a:ln>
              <a:effectLst/>
            </c:spPr>
            <c:extLst>
              <c:ext xmlns:c16="http://schemas.microsoft.com/office/drawing/2014/chart" uri="{C3380CC4-5D6E-409C-BE32-E72D297353CC}">
                <c16:uniqueId val="{00000005-36C7-4C8A-9D62-5913A7FB2766}"/>
              </c:ext>
            </c:extLst>
          </c:dPt>
          <c:dPt>
            <c:idx val="4"/>
            <c:invertIfNegative val="0"/>
            <c:bubble3D val="0"/>
            <c:spPr>
              <a:solidFill>
                <a:srgbClr val="B86950"/>
              </a:solidFill>
              <a:ln>
                <a:noFill/>
              </a:ln>
              <a:effectLst/>
            </c:spPr>
            <c:extLst>
              <c:ext xmlns:c16="http://schemas.microsoft.com/office/drawing/2014/chart" uri="{C3380CC4-5D6E-409C-BE32-E72D297353CC}">
                <c16:uniqueId val="{00000007-36C7-4C8A-9D62-5913A7FB2766}"/>
              </c:ext>
            </c:extLst>
          </c:dPt>
          <c:dPt>
            <c:idx val="5"/>
            <c:invertIfNegative val="0"/>
            <c:bubble3D val="0"/>
            <c:spPr>
              <a:solidFill>
                <a:srgbClr val="B86950"/>
              </a:solidFill>
              <a:ln>
                <a:noFill/>
              </a:ln>
              <a:effectLst/>
            </c:spPr>
            <c:extLst>
              <c:ext xmlns:c16="http://schemas.microsoft.com/office/drawing/2014/chart" uri="{C3380CC4-5D6E-409C-BE32-E72D297353CC}">
                <c16:uniqueId val="{00000009-36C7-4C8A-9D62-5913A7FB2766}"/>
              </c:ext>
            </c:extLst>
          </c:dPt>
          <c:dPt>
            <c:idx val="6"/>
            <c:invertIfNegative val="0"/>
            <c:bubble3D val="0"/>
            <c:spPr>
              <a:solidFill>
                <a:srgbClr val="B86950"/>
              </a:solidFill>
              <a:ln>
                <a:noFill/>
              </a:ln>
              <a:effectLst/>
            </c:spPr>
            <c:extLst>
              <c:ext xmlns:c16="http://schemas.microsoft.com/office/drawing/2014/chart" uri="{C3380CC4-5D6E-409C-BE32-E72D297353CC}">
                <c16:uniqueId val="{0000000B-36C7-4C8A-9D62-5913A7FB2766}"/>
              </c:ext>
            </c:extLst>
          </c:dPt>
          <c:dPt>
            <c:idx val="7"/>
            <c:invertIfNegative val="0"/>
            <c:bubble3D val="0"/>
            <c:spPr>
              <a:solidFill>
                <a:srgbClr val="B86950"/>
              </a:solidFill>
              <a:ln>
                <a:noFill/>
              </a:ln>
              <a:effectLst/>
            </c:spPr>
            <c:extLst>
              <c:ext xmlns:c16="http://schemas.microsoft.com/office/drawing/2014/chart" uri="{C3380CC4-5D6E-409C-BE32-E72D297353CC}">
                <c16:uniqueId val="{0000000D-36C7-4C8A-9D62-5913A7FB2766}"/>
              </c:ext>
            </c:extLst>
          </c:dPt>
          <c:cat>
            <c:strRef>
              <c:f>Pivot_tables.xlsx!$A$46:$A$53</c:f>
              <c:strCache>
                <c:ptCount val="8"/>
                <c:pt idx="0">
                  <c:v>Filter Coffee</c:v>
                </c:pt>
                <c:pt idx="1">
                  <c:v>Cold Brew</c:v>
                </c:pt>
                <c:pt idx="2">
                  <c:v>Mocha</c:v>
                </c:pt>
                <c:pt idx="3">
                  <c:v>Espresso</c:v>
                </c:pt>
                <c:pt idx="4">
                  <c:v>Latte</c:v>
                </c:pt>
                <c:pt idx="5">
                  <c:v>Americano</c:v>
                </c:pt>
                <c:pt idx="6">
                  <c:v>Instant Coffee</c:v>
                </c:pt>
                <c:pt idx="7">
                  <c:v>Cappuccino</c:v>
                </c:pt>
              </c:strCache>
            </c:strRef>
          </c:cat>
          <c:val>
            <c:numRef>
              <c:f>Pivot_tables.xlsx!$B$46:$B$53</c:f>
              <c:numCache>
                <c:formatCode>General</c:formatCode>
                <c:ptCount val="8"/>
                <c:pt idx="0">
                  <c:v>211</c:v>
                </c:pt>
                <c:pt idx="1">
                  <c:v>186</c:v>
                </c:pt>
                <c:pt idx="2">
                  <c:v>103</c:v>
                </c:pt>
                <c:pt idx="3">
                  <c:v>103</c:v>
                </c:pt>
                <c:pt idx="4">
                  <c:v>102</c:v>
                </c:pt>
                <c:pt idx="5">
                  <c:v>100</c:v>
                </c:pt>
                <c:pt idx="6">
                  <c:v>99</c:v>
                </c:pt>
                <c:pt idx="7">
                  <c:v>96</c:v>
                </c:pt>
              </c:numCache>
            </c:numRef>
          </c:val>
          <c:extLst>
            <c:ext xmlns:c16="http://schemas.microsoft.com/office/drawing/2014/chart" uri="{C3380CC4-5D6E-409C-BE32-E72D297353CC}">
              <c16:uniqueId val="{0000000E-36C7-4C8A-9D62-5913A7FB2766}"/>
            </c:ext>
          </c:extLst>
        </c:ser>
        <c:dLbls>
          <c:showLegendKey val="0"/>
          <c:showVal val="0"/>
          <c:showCatName val="0"/>
          <c:showSerName val="0"/>
          <c:showPercent val="0"/>
          <c:showBubbleSize val="0"/>
        </c:dLbls>
        <c:gapWidth val="120"/>
        <c:axId val="185575824"/>
        <c:axId val="185584144"/>
      </c:barChart>
      <c:catAx>
        <c:axId val="1855758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0" i="0" u="none" strike="noStrike" kern="1200" baseline="0">
                <a:solidFill>
                  <a:schemeClr val="tx1">
                    <a:lumMod val="65000"/>
                    <a:lumOff val="35000"/>
                  </a:schemeClr>
                </a:solidFill>
                <a:latin typeface="+mn-lt"/>
                <a:ea typeface="+mn-ea"/>
                <a:cs typeface="+mn-cs"/>
              </a:defRPr>
            </a:pPr>
            <a:endParaRPr lang="en-US"/>
          </a:p>
        </c:txPr>
        <c:crossAx val="185584144"/>
        <c:crosses val="autoZero"/>
        <c:auto val="1"/>
        <c:lblAlgn val="ctr"/>
        <c:lblOffset val="100"/>
        <c:noMultiLvlLbl val="0"/>
      </c:catAx>
      <c:valAx>
        <c:axId val="185584144"/>
        <c:scaling>
          <c:orientation val="minMax"/>
        </c:scaling>
        <c:delete val="1"/>
        <c:axPos val="t"/>
        <c:numFmt formatCode="General" sourceLinked="1"/>
        <c:majorTickMark val="none"/>
        <c:minorTickMark val="none"/>
        <c:tickLblPos val="nextTo"/>
        <c:crossAx val="18557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title pos="t" align="ctr" overlay="0">
      <cx:tx>
        <cx:rich>
          <a:bodyPr spcFirstLastPara="1" vertOverflow="ellipsis" horzOverflow="overflow" wrap="square" lIns="0" tIns="0" rIns="0" bIns="0" anchor="ctr" anchorCtr="1"/>
          <a:lstStyle/>
          <a:p>
            <a:pPr rtl="0"/>
            <a:r>
              <a:rPr lang="en-US" sz="1400" b="1" i="0" baseline="0">
                <a:solidFill>
                  <a:schemeClr val="tx1">
                    <a:lumMod val="65000"/>
                    <a:lumOff val="35000"/>
                  </a:schemeClr>
                </a:solidFill>
                <a:effectLst/>
              </a:rPr>
              <a:t>StateWise Coffee Expenses</a:t>
            </a:r>
            <a:endParaRPr lang="en-US" sz="1400">
              <a:solidFill>
                <a:schemeClr val="tx1">
                  <a:lumMod val="65000"/>
                  <a:lumOff val="35000"/>
                </a:schemeClr>
              </a:solidFill>
              <a:effectLst/>
            </a:endParaRPr>
          </a:p>
        </cx:rich>
      </cx:tx>
    </cx:title>
    <cx:plotArea>
      <cx:plotAreaRegion>
        <cx:plotSurface>
          <cx:spPr>
            <a:ln>
              <a:noFill/>
            </a:ln>
          </cx:spPr>
        </cx:plotSurface>
        <cx:series layoutId="regionMap" uniqueId="{64F3B93B-9E20-4312-8470-6567DDCDFC3B}">
          <cx:spPr>
            <a:ln>
              <a:noFill/>
            </a:ln>
          </cx:spPr>
          <cx:dataId val="0"/>
          <cx:layoutPr>
            <cx:geography viewedRegionType="dataOnly" cultureLanguage="en-US" cultureRegion="US" attribution="Powered by Bing">
              <cx:geoCache provider="{E9337A44-BEBE-4D9F-B70C-5C5E7DAFC167}">
                <cx:binary>1Hxpc9w4k+Zf6fDnpRr3MTE9EUOyVKXTsizbbX9hqCUZBMEDJHj/+k21j1euke1+a3s3thWOsFRV
BBKZeDKfPKT/vJv/4658uO1+mauyDv9xN//2Iu97/x+//hru8ofqNhxV9q5rQvOxP7prql+bjx/t
3cOv993tZGvzK0GY/XqX33b9w/ziv/4TVjMPzXlzd9vbpn41PHTL9UMYyj784L1n3/rlrhnq/vFx
Ayv99uKkvre3L355qHvbLzeLf/jtxTefePHLr/vr/I89fylBrH64h2cJOaKcMI2pevFL2dTm8+tS
H1FBJVIcffrCX/a8vK3guZ+K8acQt/f33UMIv3z+/+tj30j89VUbmuTTYZPmUbaTyz8P8+u3yvyv
/9x7AY6398oTfe/r4mdvgaiVrVMb+s7e9fi3F/9d3+fd7S9X3e39Q8i/KOGT4r/57L+peMyPJOcc
K430p699/WvBGeaafXqXftn6k/7/uljPG2L/+W+OAqe+evGdi/f/pZGub4vb0Oe39Rcl/Z/bh4gj
rhhlSqhPACDf2oceATSwFop+sg//svUn+/wliZ43zZNH96xyffqPssrF7X2+/F+ADqFHnCoM8Pls
GvBNT12XOiJKaUEpfhY6f12s5+2z//yekS7+WdBJH8rcfrm7fwNs1JFglGokxNe48dQ28ghjzqTi
n20jvmz9CTY/leZ5k3x+bM8S6fk/Ci5nD91tuRfavznRvxth0BFjWkkp2bf4EEcMKSIY/mwi8Gyf
6MQnG/xcjueN8OW5b2T+7cXZP8sK26G47W77Lyr5GxBBjoQmAktGnkUEPuJaIgGw+OSt9hDxF+R5
3hxfH9yzx/afFkSAVN+GvO/+TmjoI8YJUpTrZ20ijjBSmgIvfja4X9z+JZmet8s3D+/Z5mL3z/JY
t11929+6v9My7EhixAj7DlrAMkJqzCHE/Pm1R4vP/opEz9vlyaN7Vjn773+UVW5uK1v+cnl7P/x9
TgzjI4QFRkjtpYkKYolEBHH5ZbNPQeSvCfG8JZ4+u2eKG0gJ/0HJ481DeVub2/rvBIg8AtYruMZ7
ltBHCGnFNP/stODtp1H9L4nyHXv86xT75tj+o8zx7iH0v8QPYJHyi3L+hvj+mAlCoo4kQOAJ1VXy
SEsiNPvsqfRehvgXhXneJN88vGeUd/H/W6N8v/jytfCUQpTY/FmxelJ/+fG7f54bamh7j35T+Prm
4F8senL/2wuGgd8+ocuPi3yDhm+C8CeYPHnuAYoJv71Q6EgjAgRB6MdEUyr84pcJbtBvLyRQOo7B
G2KuhMYMwV510/X5n/U0ROAFpSihWjIBD4VmeHwLKj4Cc2B5ghIiKFbsa6HwqikX09RfNfL551/q
obpqbN0HeBpx4On+0wcfZYW1mWJMYkqpElB+lCCFv7u9hnLk4+f/FxkWNfckmjdL78m4E5bbdB6D
6OM1Zx+N6/WQ9JXUNJ31uHaxMmNbx9ggfKYjGdmNkoWKXR1483u1gFu5HAf0+Ik6kDvaQjhI7UpP
5MxQFXcym3FcStPlcRYVpX/FO2vfRYxb8xotbGpetaQuQ2oL27ukYfU0xl0tMpKycuq6tMi9VnG/
CudiMYbMxroi1RRrUjVTvNDMyaThtbmqe4M/4qJhm2IWRCetG/RJ69romrg8IpeDW8cqxfnEuI8t
bt3LqfPTOWrLaox5iQIcoJtO+x5xlXa8GbPLrFqkjWtlkbtWjvxejOuCt1OE5iFuJbFFMmViiWeb
2y5e544V52ykOCS1CnmVEDebLm3GwIqkNUV+w1RUieMObgRKF9LJNZnGwhYvA0VoY+xM3og20PMI
0cUcr0GN5S5SZnKn3eyHPBYmiCYWkiEfL0GXIZ4LxV6RHrsl8YgNccR5nvaFMvHkDXkpy9Cc407l
r2Zs/PuAozve9WsRh9k1Q+p0xTdCT6GPm0GoWLPSvoPVxLEZTXeV8Ug1J7z0UxmvdbmqY4EMu3aL
WM1FbbIpS0Q5MB3PUaDhpF7WaD6eGtEUcSYQXy9YL7vo1EjsRYKmlUW7juviXafWadgO3mTjRdbN
i064tYGkaiL8qp5nPCVWZaE+V6hvXDzqsq/jZvR4x3vNqiQs1ukTxFzuz9xcWRcrQYdxw+up3pFZ
9X2KaUOajVkJfN+PdFniQHObHS/OjeUJWpqwbPJKE7zJpRckZsbPNyHPo3JXzJT94UXWvqnyBiXC
dN19EzI8n8KtY0WMqmzpNmPX93PKcaPjvEPDiSlDb+J2lWuXoEiNVRypTJwWBaJ/eI2HeZfjQVWb
fDZhTFtNwGJLZ5pTOvV+jK3v3DmUlvNXnZVXsnbiTQjDXCd91kYnZsD5qZomieKAK/9O1QW+joY8
fFj1Is40d7uxIX0bO9iavM66kedxU9qe3NjOSBFj5Jo2GZBfXtuarvdVXq0XI0fdlJRDk+OX3WBk
G8+NI9OG1Ksfdysy1YUudNfvZta4NkXFWL3vo7V9qQuJ2rTTfvFphrRrkohTdtMuuWcxIpVoYxUp
2m+cq/k56+ucp94sVsbFEhl8NlDwCXEwFbvoPB5YOuXNUsa0qOyHXjdk3siFwW3HJloT7Bei0qbN
o5gplL2N1jLbrnJ0STU39X3poyEuu9wem4zN7/QIsGtDoeQWt131fikN4Mbr0L80De8SxqrmrEbl
eBOMKPK4XErwBaWeTy1j9KrTfO5ipmmxG8am2tQWl1VcoJFUuxa17A2uXDgLy2Q+cEdyvVn7vsxe
udnKKZY0H7OtXtrpeCAm/2P2UbvERa7IGK8ID3A9yvbGCkRP5lUyG7OybqI4FxONWSZFee953p3S
btU0yWa1vh2wqe/asRn18VjS2WxziDg+rZw0iSynccNGM13mbROdZIzQIh5NU06v/WSzLsn5MrM0
L+sxJJ2uWnwqSOZPR+HLYTsvFJM4rMgXqaNMuGTN4K4mHLXh3Vgs8mU9kibR0kYfsMlk/UYVIULp
NANQYu00SrOo4TyVEAbVXRUtNC7B6W95N8H1zN+tNkJ/9EOJN4o0xYZZ1x3rIW/TPCgRgQuvaNpg
C1syY9udYIEDRjXV4Pad6U/bZdH1TTMPlCWY+XUzsja7rpYI3ZjFgUYFmeS4qTm206ZkRfEKDZlk
8YDImMdKchadsZUUt2LMmnFnLBrcBaPZmigDLicpMK02nlgk4nXohqvMOnODFbi5dDQz7sFfWN2k
mLdwEzWvoyKejJ7e6GVtV/BX2GZxAM3bzeqZeFXObUSScqmrNrFD7X0qlhEEITz317YlEQSAVTZ5
knsr2iSPgEGcWEVYCaqwYlODN9MJlnY+c71FO7jMa3Qy1NiczHPjbTICPwg7EtkuO+5brnd1Wdh7
Mev2XT10zato7G0Vz61d7xyLyi5uJCcc4sOgmhS26KtkHIr1BNfMuV3gpR5ia5d2SSqxEhYr9aiE
mgwxmlxVXAW3LkAQOkpvVbtCoFN17W+WRoWLBvmJpcLNLsTMgWvVAzQ74lGa6nIWjb2mKh/fTkuj
T91iND1GUbReFxVSU2zUEMYLp9flZlyR6tKpcBCOjOtav5vFoB7kxJZdRQ2+zKacN3ETTU0ZN6ub
2riezNqkapQqxnbOs5dsKeZlx4bC66tFiXGMo0nmFxHt9HvBF/6qINFZSws7x7KvrodK2zNcrH2e
ZjW2WwpOLs3MGO0KW6JYDfMfhS/HxHrwmQQFRz/wrlJlYsiq3vV2oB+DH7M4Z3Nz66IV50nTju4E
zZOLwceYGFlTvF5YMSTlNBQmXbqqSMaZ2OuoreUpbiEn3o60FnFlRJ6WZdHFHhtjkzZb8nhYjS5j
1uYkkS138Syz9TRq16yLkSHimpVR5T7kuDfnYnRTIpp83c0VGjT4OJvHuZ8oTkoQeluYZlKxwqTf
9rmZzqJ8MixBYuo3tbSL3ODCysuxjbq7sWTmnk0if5+H5SbCEFhjUhhmEzl2zbGdPUurXKAVqIf0
Ju7AF3XAvFYynrC6F3+0Ue7RFtcliU7HojjBbOFb0mXqFSNrFXNn8U0pqP/AcR6aS1q040ehZD0B
N3Ckein6vCvTvJgicczJ6hKyKF9tEJ4avGuYm/8wxOj7idV2fNtkU223osHNfcsp6l5NGZFyQwos
9SmrkOnPrcagRmP0sMRszPw9NeXYAr0h+XiSoZIJiM6OLHGJm0qf1jUdX7dIrWNqXVS9nnRo6Ekz
i2q9pl17PQbvmlPeteMSUz0trxZJa5TQNb/A/Wx3li8BJfnc9dsuh5DVl33lE8nyuUlImwFMgIj3
V3bt8pNKGXVaF5HdZXqiLxFj+RRX/dRs+nkekqzx5Uaj0kAsBw5y3zE6v+G1zDeDnEgqG0OARTfq
bRTV2RJPC1L9iapLUd8uda/9Fhytvllswe6HsaU+NqyrXw46tG+HuRRJQZcJn1K3lOeBNLJMytbg
dwQx/FYAV7sMPTdbXY6GpU3ViWrLK8HKDSIzjefF+zahzrM7CJBlCiFLuSRSEX3XZ+GWdG2WJ/NY
lmtsiPMfvWvbd9hyH8VY5zJKeDYA4YjsUr9tzWBupsYpD9xN5TECvvh6asuZK7jJLfl9nVib6HYt
p7ueVXXMIgbeOLObGTj5LZ5XkQxL/rpwBJ9EhILn72dO9WlLocO3Qyse13OHS7ccw9jGUFzaZqQk
1VMkizhiA7U74oNYj+G7SoLPk2OeIFwrc2zbwR8H2dL5bFhVfxPaUPPEEkNe28JhmxIGoTxfnL/u
lmCu4e6vu3VcCY6dgjCf1uswXFllWaID9WeoDPSYRMAKbMkemBAkJL7uKPBGVfCTUIQlf1e1Ph8T
TXyWx5XvgBGuFOELT9vhik1zGlWFj+dhsJtW5PMpqnSzoUiEZAzjBzdMtj0ewuqyJC9lp2Oac37Z
zrq/nqJs3RpC7O8edHtS13PnEipq1+xspCORuopZu0Eipy5hYxS9z3sxRKdF5GsdD7SSbyY6CpTW
BcM0qbqxuUOlknOcQaC9NOwxOWtkcA1Ebz2/tsuclceN1QWYkK/vqc2nDwSkEGkx5QgnCvTtU0Z9
2DLazR9aYnoE6ZhjL21O0Q0QXPCwxToCWR+6/DSjzfxQZe1yLBZZnnQ4W+1u1A27gKRBZadt4ckf
ReNpWmJIZ1IgGatM8lUPXbK6ef4wkyXzMamhcgxWzDZV2VqfaLBYH0tHXbEBMOM2nlY3/gHwFefB
lb2Pc4wguo+sNrssz0ufjnl5PKFW0njJePWSICBDm6xFFp8GnWfiGDJiRFNjowKyKkhvRAJJ7rrV
zJEPvIcAlqz9APkrM4iZeBlK4SBR0mJ502UBs13UU10c21Dn92Pb8ZMxH/D7aq5VGnLe7ZwHN78S
2tmYLwJ8jeubTVf3Lq24MkVMKkjTk2UeiiauiAgfWNRmL40c+VbgLn/bWVWq1Cw+d8dZUYpXa9c3
4bRtSIbSoDORxZmpxUZVsy7iYTIFEEpigNfwvJ5fKq90npje6nurqXpNg3mTa92VMS+Ejpu6qeDq
rvKYSou2yiF1ugQ8xYq19Ymfrb+SY4tS3wnRbSA2l+VmsUO47rIJx7Qb5JLa2oa7os9Ff6yJ7rud
7OvyMWXv732/ji/nrmgwnA1JF/PGGAjS84JuWT+htAQ7fGSOrddjDgEe2Kg4Z0MuXhXesLjKs+mi
GdczIzXv45I3fknaatw5Ju7CAITHCSNjS+rpbMohSyIt2oaiBMY7CvpuXfN7uG4z6NjyeBD2vhxt
dRIyWqWlVaDvAhjyjMUlqyJ/WvEAAo2Nv1IQho9t35kPwCmqJgbnJ14zd4sI5xsL9wiIfk1Tu/B6
g1nDT1yN/OvM92jbqbFLwHGmTRPoFtta3g9lhHcZ6tgJ9W631oqYWAyuSP3s6+Oi6ujrDuPlTK4K
/aE7Vp+JkUy3Q+ezlGWuqo51v6B5V7pGmA04yeluHcQwxbXDbRIyrk571wLpagmcPRmnqL3lTqhl
s4qWny8D7XbNDJzewQjYtij8tPPZAun+6N3VpOhyCaNJvIv5VC7n0zwCK1RTvz4sRXAFFIxqn3BW
qZuFC3G+EF8kItQMcuJSJZN3KCXA5B/KaO62Xd/+GUx+b3UYcLw2fLgIApxoL4qmSDzlPNtWjTa7
Hi/btlRuW/f5HGPqofjhhO/fAN1toUCxBJ/Mf+YcszdpG7j7qGiuT3jXrNfTUqzvcWnEdd0swxyj
vAhJS9gS4hoNOLEc3CVUbra8KU8mYvw2L7F4OTiG4UCzihLCmxrITlSxYzo0WWJkz8/HEvLTQbL2
96lDZxIvtYuhFcKvS836XVt186sSMSgcobxSiavd721J0e8ZqnxaDl13OdEJb1i9kGPPH8tnYUp9
zXACjIZf5S0XGy6tPfWIxC1dhh2d5aUCmpewVrKzhRMMREqvKeG03dSk55Ajj/a8CybajBCMj4VG
QO+Eqc7BURUbgIx6V0ett7Hp2japKbExweZmKaUetxaN840QczieQtPD/dADf6mMVCI2hVgupjKa
NuBxl7ihdXm89KY9XVfjydmMC99voJp2smR5eB8VCt1w0fYR5CpreLOOGtiecfRdOxdoKyuHwKor
2nkB9u9q029kKAtz2s4T0JApn9IRpuOA56xO/jHX5a2I4CBzg6Fe0K/Vw7jIbAv+oblu12kCOpRF
lyVt1YZl07u+gMA64KpOTZn7ZstnPiZFOV/nTSkvPc8qHPeQDvSxziG9ibOJ2zPkuvpEok49oJ5e
RRnQ7jBHKxCybLkSbBGbOeqXBIcyih8LJ8UcNdt8LvoTMa9Qm1qaVbwVpOLvuYsSFHKIJGawZ7Lt
/XaBfGMTLUBsL7OZL3+stqRvnJvRx6kbIsgHNL8aVrstBF/7Sx8tbrrIR58Dp47yXbWWdy3HJGwi
GuYdUO/lY66K6soFTnbtOLabDlX98gq5LGbDUh+PqsdZvCwhBya1ckOADsuoTVxh1ylRkLS8QrSi
S8xrDEEPOgYwNfq5kP9NMfoOHGhnTf55cPXrj/9101Tw789n/vXi49zrv366+DIw+8NPbR+ax5Zh
2P/QozRf1/rXjOdjKf+rqHvNgU8jtt/pHPzwzW/aCt80GJ+2FTCGdvPX8dr/0VT4Zib2sUT/5+c/
NRO0PGIYS3BnUIWBDrbQX5oJQh1hDeNQCsEwgiKIQsfgczOB8qM/ZwwRlDmoZvzxrc/NBHEkBYIX
lSQSBnm0Jv9OMwEGgp50EiICzQMmIclC33YQQjZnjbNAtHOcav4yjDA78vX8zzQpnl+XaDjs086E
JnYUoZzlpud5mcfruizvciLmTwO/n+Z9/43lodX5dPlCRm6Z5lpu8q7tuutJQP5/Y+a1+fhj8R8b
KP9qsHxRC9HQ2Hu6vq5WpwaXiY0mPKyvPK40inNacBwj6IVAmZm2fXb8482+p6u9Lk4QSBTTI1+b
A1U0VogaqPosQn348fqPQj93GGhDPj2M1C0UB6G8vBmwZxcYTwwyY1QgiNyqr+dtJFfRxdXS+usf
b/i9Az2+/qQt5RXyo3zccCy1nE+bfMiGhIUBXNWPN3i8Rc+dCED5dAMFLg71A+WbyQU5nQroHZHE
u0Dyc+7yglzgwQ0OysdtvUBOWDLcHqM6H7vdj/fHj/B4ToDHxtzTE8oqOB4WvhkMtNQSRdRWUgyJ
Mm2hgNSaCdoGwyKj82Yy2G0G0jSqjiOjSAXDcocADBzDUwlKs1RjySdQgSI8oV3zUfLJ/uR83zPg
nldoAKmTWnq+gfgif0fN0sQZFB1fHiS62vMNpSqsCLTjG0etfUDwGxfndWTdkBy2/J5vgDIj9y2k
zZuyl+NbPLUsnrNVHuZ51J5n6Mqp8J60fNM30bpu0ByNXSp808gDxd/zBmQ2WC1lAd6ggXJosgBZ
Y3HbApTSw/Sz5w4ItG7qJvhoC0RZiqtgYfTubdX30cfD1t9Df1BogISaq+3a4GqzGBZ10Fd1ofuJ
gh7lfAZ7ag/8unGsHKAUsG0itVbHU4f9uCmnBQo6rc2ZPnCbPYhT1mRq8pHc9v1A+l0tmhpt1hqX
88bbfpoPg9rjiMFTHLfN2GZ0rtTWE7feuG7JX9ZS6Jsf2+J7utoD8gSJDZ6AdkBaM9tNGTpJzw1b
mvad48rNP1HVd9yF3AN0rox3Snq17Uq2nETVil5qg6Ge8ONDfG/5fUBndkGgHLEdZEsgsytm9l6s
jf9JMPne8nuIHkbZSAXT7NuxBAv0pak2bIikP1D6PTwPltZLuRRqy8LowAYwshHFAS12PXCDPTw7
HfFWz6B9javHAg2G7vmmK+Q6XR2m/0fFPQl2kiwU5g1msdWQbLyVKoSr2RroiP54+UdFPINnuYfn
So8TL6Brva3KAJ1BWVXt8Ja2q0anfZRr+QoGZ6g4+fFm3zM22TsL9MFg3ofLraest7t+pTP0/V01
ocPwLPfwPEMnTvQwELJ1wXh2EioyqrgYWPez2Px4659T1x6kF1MYVE1wn6DP5GGoxlApr6poHcWp
6bPKbWZDlvr3slL0w1Cbqf6J5r7HeR7zl6fXoJyhe9ysE/jdUpX+NI9CJoHZOw20TvVTwfq47qHc
m9hc+OrYzauRqWATbV6PCErRhylY7HmDJRORVC6CmpGMhpTaSW6VLOlPLiN+tNMz6hV73oCP0Adq
Sau3FK1ds1lxNvYbnq1rufOayuWlCVXz0UdsqnZsVTW/nCkl9QWRShW/Qy+K85+I8p2rKvYcB4yG
cN9Mlm29zAJNxKof/DxD7fkgJIg9t1F2VOBlLuS2i/y0NT2GDrahytwftvye0xhwJ1QBrcctjBmo
9xxC6WVAUXWYzxZ7PqOlBjpvkdRbXkImkwxYVWs8WGjj/OSWfQdlYs9PBNtC6W3u1LZfoCt5oljX
IZgDwYC4nOSoiWs7+Comq/DmzldrIAeaZc9/0KmGCijpxFaorBpiDwXcCjoMLDowXIg9/7FCva0d
RCc3AxScNjDcYNJVNFF6kNn5npMQmUZ10c7rNgym3641NOlE54uf+KDvQILvYR/mEfNohtCwLYiF
obweFylUrclhl+pxoP2pg4Osp1HYNuuWQN4IBWT8roam62F25XtoxgKqvnNpoIUnl/4CKngIuECb
4+LA9ffgnBdD72m3rNsoq/QJGWeXZlSx7WFm3UMz9SP3vYPV+4ywZKIyxKHC9kDZ6beKVzUMZYwS
zBr1JE8cTADGwkEj+DDZ96BcoKhDUxbWbYtteRx0bWAGh63HP179Ub/PxAu+h9c64/m64miCWVL+
AGmnG49Z73y97ScYPfnxHt+79nuQpaMc68Jl05YCcK91D2NY0GJyh6XjbA+yfQ1UaFrFtG0YFydK
8yEtlvpAd8P2IIv7qszUWgxbE0p2ZstKXvi5PFD0PcRCoM6cw7Tftk2R4aTj0JGX+ezyw7wZ2wMt
z0yA4SAo8/jazqeuh4mUIcvKw0DF9iAL9dFoxEPRH8PM5hRe0wmp8iXvlMgPuzdsD7Uw4jC2ZoQp
zNkMa+I8f79oaB0cdCnZHmh5ETmmVDZu2jKHtm8YoIGlYRbtsNX3QEt9wUhWqBE0H73vCPC7Ws/Z
gWbdw6zzaxdFQXwWnZGWxHwUh4q+j1auskHleNzoCYrG5HF1GKg4cHW6h1aHRp+VAVafC2jiD8oN
MQyiFIep/fFPgjwNgTnjqoHf9YLVGXloLSuPjTUHVrboHlphwLtU1sDieh2qLbQjO8i8xHwYN6B7
WJ17mEUuFwfD4302xTMeSYx91h8WougeVqvck7qhaNjU41rHU24foCmND9T6Hk4DjG/4Jp+GTeVy
FgvG30djIAcuvodTlPGOLnkE7dcW1WmY7W0Y1nDg4uTb+9IGPRfAhIcNDI5A3xaGL+OhI/LA1fdw
KmkRwQyOBtH1gC8CtEeuMmnKw1pUdA+n88BglAhW3q4Y/uoP/F6EEjyN+kiFw+4M2YMqgbGtCnry
43aBubcujqjnWz+R/u4gF0n2sApzy6Rr5goiaxbKU10EnMJwxrI5bPU9sA5d5qlZ+LDtNf2AC/Iq
MPrqsKX3kRqWolqWqP/fnH3Zkpw4tO0XEaEBJHiFzKRmu1zl8YWw3d1MEoOEAPH1d2XfOBFdHHc7
Dq89KFVCW3traw15XQVPOB6/eiYP9grZLk6TGqA02skpB0YtPrkqeu3boj/4QXdx2rU2MEnsXB7U
U52pRj5IoIuObXa2i1M8Cy+DBQ7l3Kn1j9oDyxnp+2MLvovSuF7KAPna5xgWDKGN2UqAdsTLY0cv
28XpXEauakOAZkHYJl9CAHvq1NYbPVZpsF2gulExooreAU9itlO/yh9VPRTHlp3ugrSI61HOtXF5
5A0g9Bq4Gdv+7uX1ujF+cTm4Enb/mU6TToT1EOgpB3UweYxtSR9VUAyfD31WugtRNrHJgGmE7VgB
bMr18kXG9bFPSncxuoV90hRV63ITzTyl8fpVjfH7Y/PexWi4hOtSc4wdNPYVYJbHKLSPx4beRWi/
FEU5cWCNSBEEWdAUD/VGDvYHrlCQf35NSodBbgELzoIk78An/Bobr44dLXQXokGFOt30WBNVdc89
oIaFro6d5H93Ov/Rvg+HxfMVDfxzv803ZmH3YXQsg/7dKf7HyIOPJtEPuNsJXT7E/Zp3pjj2zEp2
YVmraa2cw6QHDWiZyxr56dAOIbuQVEljhq3FRwyr9odZk+d4E8fOKbKLRwcCyeoX4Hm9bejr5ieW
N47b07GJ7yKSd8CXNnUy5TYAlIB17U1SJF+Ojb2LyFbVNoIoR3AGyhkwBSK+gzl3MLGRXUxiY4+j
IkjJVS3WNLJhcEoSOR8LHLILytjOcgqjOQCc/sWAUoQu9rE12UVkVVYj6Dt+yt2VA7pwO6R0FK/H
Bt9lzAXvXd53hT3TarhZFN72wW2aDu6UXb40zpE2UBg8VtF77oafdejNoVWBhNfbMxAQNU/GOLFn
o/n7CGOvbj469i406VJLzsHYywGNJw8OSPi7MVzFoVWhe0hXZcNZoZ7FRok2UAVJ81GJ6lCBBU3A
t6uyJi5c2gSRv3I/NRkJC9GfGCqg+tDRArTg2x8YFh0WeKuZctA0vgfL/BmPDx+PbEWa7MJz5mBe
CY51ca6MTqNra5CcmDxUR9BkF56mmiX60Ssmvq7vXU/u1nk8FqEUAMg3+bjRkoSy4hYUBf6oADiE
nIFkB1d8F6GuNMBcunnKyaCewcPMGlMdKlJoso/PKOh8ybXNGYtYtmgKdkDY/HXoc+7BVR4vCjbW
kwWaQXwtLejQMno5NvQuPsGKK9qYBSb3VC2p6uV46cBmOlSm0D2wqo+WLpmBFcrxhLSBetU/SW5/
hzG4bub/XYjTeBegbmC2rehi8h5YG5VaZ4L7YCb+w7GV2YXnEnCciqHDF539HxYV3GrjH8eG3oXn
hMRTDaK3OWgtH9ZhuCVaH9uHeyDVXMStaFRo8m0eq/O8lOwUqO7nsXnvgrPewsIaEIvzpBqyNvRP
Ov5d2Xld1V99zF1oLgH6wfMgTV7pOXLQJRHN4yjAZl8aKKJkx+a/C9Ko7VZQ6yKTq5p/U1X4ORja
10ND7+FSKxCPSsjCIP5nezNbQ1M6h8ee6qjcRWnJqqg2nGHiIf2s5+DKuBw+HZv5rsKt1nFoDals
HrE6XM4bdz6EqIqq2tOxH9jFaViV4JXHCltyDZ5rDdWL8dhdHNqxb7OFqqMRF2YMXfjkeSL1u4KL
Q89Q0HncDR37QoNSbHJeaJZDuGN6puVSH0L6gkHwdnQmZxLNoC/lBdl86s2Y8/AgOo3KXZjqtQim
1VYm7+aBpGSWl3Epj3WH6R4LNZnQQVQGS47j8X727F5F68EY2oVnspTKNWNpcgmmYyo3f59AcyU9
tAv3SKcEu4SsrDU57ef3nI4PhkzH5r1HL5karxMCbLzcivhzTc2zasdDlziIJL7dJ8Ua6rYcGpML
rEyaAISejh6ktGNrsovMCVT/oOmTEe821ZgZ1j67IPl4bOxdaBKCe1YHwZK8rLmGPAcaFWdHAnFw
YXbh2TQJUGmNR9wkXmexE+KDqsl28IvuwnNuIlEAazfmW2IYyGPhEzLpsddzuochuaCL+2jtsV36
JCQtzlrfWqiiJHN7qIcDhce3uwZYYJKUa4e1L6tFgi4I2E5RhOOxdwQIDr8d37fOxUYXQx4Hth3B
RB30Xy6Ry8FL4x5wRMEhDpckGCDY4O0JWhxgc4JkfTm0M/eAIynXNSYzGXJQvBk0NwBihyzBwfNx
DziaFBB4lndDbkNZTindWPu99WtXHjvH9pijtTbCLCvWpq/AJIdyzEdQfo/lvGgXs4r1iw6kw7p3
8XAD2QwwSlVf3Rxb913IzhxKX4Nahrwpou0z6YvyBpLiQ3twYXYxy3FORszjsyZdMdqLhOxNmEZF
D72rY/Nnb3c9HuPavhtmrDy3y60x8cdqVMd683QPOZKtZsAYmyGX4fRSl/Z5aaeXY/PeRWtZ+IUr
aJbksku+dT34/BXUtI4tyh5oNKJlHgdODzk3TfxN4lHhxrVg7h+a+h5oNJFg9RuP+hyRmqQC0Jc0
8IE8Hxt9l1yND/BGD7GBPJq9SyM63LXd71BM8rq6v7jQ7GFGY70CXgd1rXwWbQl+r+4aHDaQkAJj
XSdle6MHv7w4bdUttzwQ0AECc/wVFDc5vocerDUvidTipsW7ZH/TtB1kcaSCwNRTuY4xWdItbEbz
cYF6lcuIH7v2ew+FPHDqUVgySGOh136Wg1sdpDfQJcsEXqnXWzcGcZMzuVbhbdE3C6jRBN2ELwGQ
vf5CeWPlicsVYy5QqNsu5ZhUFmw7trmLZmzdTnbWvPu2yjAs3k+hCJofFjpcYx5vDFx0s+LvPUEP
IjpDmC2Ks04y2mZQByndTUn7MnkQcQdeGBk39sLiZIGKhTC3Q23NlpM+if1l0WoOT7MJy+g8Q3EK
LWxVzWFWqgEiDWROEp/FpuYy1X1t6P3SFU1yqzidwhxClODZR7ydb7ct0E+mm0l4Csk8b2lTmGJ7
URChlMeqkD3aS6+hE63jfS6iqkfXJ0hZCVmFY9tzd17ysPAoJBVEDYT+swjbl0LWB+e9OytnvMSs
imHekStySFXeFRE91hwMd6dkNAOZQtFBysEfhgxNkEB7C0JOB9dkV9kYUnLR4tEOojnQP1nb8S/R
mGNFX7g7JxvQW+dOkj533g1PYIPVNz2f9LGjbI/xqgQ07jrovuSlacOHEPUrkP9u+npor+wxXkaX
8zwPc5+3cek+GYjCoZnfxdOxZd+jvMaunkATSfo8QVM5jVjzUG3lMaYZ3YO8CEI4CmMIPvh+KPSp
J0uTrxDuOXjL2cO8KGQit4BjR0JPI1rPzHZuS2UQQTXz2OLvAnXS41IE1dTneKj6axnCuyiwxxgd
lO8idXCLmUcvoVlBEuDIJitXlUGIiP11bO67cJ2jceOzY0OuxmSLU9mPHG/sMWPHsBj0Knbwzwf2
ZegUJdClBPeGQgBSLs25ruuDBcIe7zXIpWi2EikcbzQG+itUZEOwkPzQ4uzBXgsBVTqqux6sWqXu
BJ8hTiRGI47h++ke7WWbrgSQqccx3Dl5V3WcfMOd1h9rBbNdeSNXPW7aol5FK2uFBGnhckkmeWzT
X4W5//ldGVcuqa/Zqal1mdllLFM3aX3swNlDvqihK/R14z4PfMf/rIA2/3PTTh9DflK2i9iI8a6p
mnbIIyHn4LZNOpqRYlmi37wd/guvju6BX+C2FoVQcZdvinLzOrT13GcQamXDCRo9wSsIZ09BkKjm
hCoO2qIQQ1TiUkEguj/49XeBDVKwIK5B/bn4sYozSNSV0IOoukEdu0bvAWIQyt1wZ7meTAVUa+41
tDVlDsnSiWTHom+XjzfiDOi1rMthCQalnnVpljBt2nA+WGDtYWLCbtp0DD/gHQNseXOfgd7/eWjy
e5QYNCY9hNq3Lh9MZ7O15H9tU3R04rvILseNWttKnaO2vSjW3jFmj7UA9hgxHQSkXKAgkk8hlInb
IMRTw7J9OLYou/7CVClT0mXuckhNxmdXQSBNR/XBVEl3Qb1IOG12+KJ5bdbgh24W/tMESDfH5r5L
xLYJO6jfU52j1nqS0KqDNudvtFyuE/zFVXGPEytXvDMK03e5XVl1R5WJU7iGLseS2B4qtrSijueW
65y3cV+mTRyPd5V0XXUsTPeAsTBZeyhWEp3LqIOOchJDtY/6Y3lgDxkzQ1eWRVJ3kGmslgdrdJjJ
qZmf//ubXvfdLxZ+jxtLltbPC0V+V1s4ouQntkzOitC+h0Ik77tjNdYeQxZ7UUACv+xz4vhVujKa
IGPXBgQK1v/9d/zLBroaV/wzF+ugtuOc1NibEXtxE/lQ0uLYtie7kIWSxRQTKOGD8gs98RqCyVDk
pt3Bz7sL2Q6bMWiBCjxTaYoPsw+GF8jRH2Mz0T2MTNUddYRZdT2D4+dB8yifarhHHFv0XYId0F0g
he4UHsPRlejH+DmAWPrBhdlVzc5PnXe+VkAIQMIpA/lw/LqppJ8Pjr/LrRCkKSBjaVS+GfkDvaNH
LavPR9YFNrhvN2M4E7xWgyEI0mpfNOlo3fznwsdj0hvwRno7fI3rW1cV12Uf4gINRxvfahG5Q9ud
7AFlPWvcuhlMvigrtJ0ogwJyux7LUGQPKUvEJn1k0X+jy0T9qauBR8iarmvmQ80XsoeUxfNSDKhs
VU4r4U9xScj7Hny+D8e+7C5avajR4VrG4FTScu3vGkLJE2ND5H4z+79v5P/7PCZ7YBksSNkqhMPW
EQ4aviOlnbup23k0F1zEHLvAV1nY0xiptX8IPG4FD4NsRv2VUR5enGDbrQwDH6XJVjioK/igbd/p
LlpZpsfR19lWVsX2oy8gbXvpBuTczEXN+pPrMLyfh2a683U1X3gB0dVkgwYGpK91HW6vFQW/5bm9
6lS8dnU82BMubOGGfwvJ7IoA+fnUDFAnPuG/tvUjZ3A1OFRIkj0gDrhGGPCAkHwuC9o8QZAzeWCQ
uz6WYEmyO2j6oI16dEfbnK3kT8HG54SW749tl90Zg7um14FYWgj5A2erWHjLevs7IY1ravvFVtlD
4pwLdLnBJycfB2h13BoLLfJTAuVMmBbghlDeQrlZVYe6a3+75f0zv9IxiUQ4R20eDIE4h+2iLtug
yo+H1mkPkqt84XBH5G0+92F1giI4lFBhDvHfg1/z9K/WaVcaUFLWrjWuzeEFVL8AVR2+gxLt+n1t
aPCbzua//cT1n/+DMUCKRJZsGNuzXXkrTtU0mrFOZ4Nm+20NsxP2m0v1v33y3fEDeELpZqFKWDFN
bXtxV+ndpQnUudZbzDIguo91lWAo+vYvKiv0TgqjsGgdCwB0E59xEB1MYDF7O3gAwRE0Aro2p3iO
mzg0kzn9zQH9b19iF8wSblvxBg7uqS1HOd3Cgiq69HGCd39RzoocQheQeBfXEcYWdS0DyHRASBBc
9/JLArut32zY69f8xYbdA+msT0Y4n5gmlzKaLsBcx2lRwcrjv8Ph30bfVQ9zjVYkh19TXodxeBlm
r09xUh+6x/3tHPgmEMRAlZKqONG5viMFfIN6cWzN96ZwnsOnoIeZ0WnbwnORjBdds0P3Q4jSvt2P
sAvra5u0xamt2b2M4MgijnXxyB5DB1ghFknUxWlolvGusXbK4UX1cuxT7oK0iGQ1ex5gs9PSnofB
hKlPVHg5NvouSuGbZYqIBHUuazvcA/X6eSz9MXFYssfQlUKWwcxcnSvP1MUlU3cDn7tjUFT4uL79
oIFf8Z6iTZ3XTTOehip+CKSx50PrsofRQQZ8dJb3yWmCM8V6YWz5CHO09lhTEeZUb+de9ck0qrBL
Tt08PrWqzxvTH0vieyidr9a11CUKKTU5uAY6eMRsKvrNyfsv58pe12sGOn8Dww9BZOc+BWosGwQU
hY+t+S5CN4j02HkaarCWtM+6cujHtDBdcgyQRsQusSbag3PRRgmIVv3G0lgV5r5f2/oYD5Lshb2c
6IoOji3JSS8b3myfgQL4zcr83dv7RbbYY+lCsYGK0ZVVTn3A53tS6wgEoxLCoa9QSurzOko2nspx
vloporu2ZOPURjPkOAfhL6NLyAiLMFqy71pGbM6LmNfyUAceXvBv9/IajBS6G9P1umSm8rbmJHbn
yra2Ox3bF7tA7+p6EjGt5Gk1lcAB5RvXwVhOUP7z0A/scXhmah2cXgZ3hgvhcNZxCJ+DJDzUaYZr
59vlQckW8YFrd6ZX3a8lupqdhfIQvhraj28HH+Qc2mLC4LODdrOy4QjHRXYM40f2GLywcmDDu85d
ba0GeC7BbQIdiR/HFn0X7XBdgm0tL6bzzCoNq8YABC54tR7La9Eu1ktgTUkYwP2xB7Im7VtTPinJ
p0/H5r7LyeEyDJzCP+IcJHj1CNuthI1KdHBh2NtvWpuFwsZGTWdoVLL3nV7bH3A9k8fKoD0Ab4uq
ZZzcbM9dJ1QG5WoowsD38TcH1b/kh2gXqiqZ+MbjyJ5ruZpLVEzQFw9g+3Bo2fcgPL4wvql2sme+
6AqIq+kV9Or14OC7OHXLCMks6e3ZS7rBw7Q1mWwP1irhLk6j1omAj1j1TUOuZZn8X8T8j7HF/9FQ
gOwheME26LFQ3J1LsGfgLlbBRIyBynls0XdxChuxsKhnFFYSFldW8xddsWP0atjMvd3qFRxg+34I
3bkmhqTrAGOsogCM7r9nfp3hL5LmXuVL0XZkbc9hGFyoaH5fOV3rixdMmUto4Dl9LKL2SLBi5gV8
ePBHRCwOTjOLyqxb3TEkGCzw3i7RUBVymgRGL8uuPsWAgWVJ7//47xX6l3DdQ8HaBscB8IzmDOsm
n9V6bE5WF8cS3x4JlgwhmXQUwaW4dfNFw4E2hYDxdizz7ZFgXnMhNrOY81Rt6kJt+3GjTXTsk+5x
YFulw61Hr+c8xJXMtFqbDJDUY7B/sgeCddLLScbFcA50YLJmG7qUD/6YchPZw8CKMFSGNmI411fz
qi3SCm539piqIOG7iHXUo+VsyvjSNN32Cufe9VNDut/p1v/LftyjwAq+LNQBrHyODAUf5VpwDIz+
rkf4b6PvEiscbtCu9klyCQO0zufgZ6+610OBtEd/tZTRAv4Z8gKdr0Kl8wZ0IozA7Jdjw+/SKlU9
hx2VSS7RoDsAcJtVVA+Cqi4+Fqt7BNhgY4cqfkguiaVpk7A7RQ5WYnvwF4S4xgkua8lFh0h/VzxE
dwyQSPbIL5hB1EUlx+SyXaWP2oWGWVjB3/fQou+RXw1R1bT5Hh6kbXHTmeE9EcfUBGGz9/ZQJxFA
RVxr+BcD/tB0wQOst56PzXoXoBFkhCrDu/DEhNM0DwcF3nW1aPfx2Pi70rcb6NjArV1ewp6ukFAP
bQibbB3/Tk/wWhH9ImmzXZDWAZxd4wU+lnoI7M1UzLN+spKUMLnUoyxuS70t1eO0Fb+/XP9/x6hf
/eguyUrPim5uRoVr67p0a0ZVrdgA53hEnbpUxdqqdOw17GrSDmaoPRytvenkba8GUekLLtZNq1MF
705/WxU+KL5zvgB21xFAWlt4ynvYwKUocobxoRU0Hh5nC8NJcbsGoRzb1GyqDOqU8KTmcDae5IBC
qBf4dGmUjH35fTCVhgFh2EoYPvKthdzzyeNCL2HuPM6LyVrPm/UFEnLLDGPOFhY/kPn29Wo72N66
QIQpLOHZ2N7QoRWQvtfoWU46Ba9AOUzQyr77ODCNi0wjm/gvPWj8Y+PGcD4JwH156rBCbTbPC6vz
DSaFcF1qCbfd9x5NW+nS1VA4JadRLMrqa1fDSPynLh2MfkDk3HqjU6h9Nf7LFaR3M2zar2kH0Sib
LUttaXuSIE4W5w1PNuwcsGK1WRFjpyXZLBYf6RObt4jc03gWyaWO3KbBCxt7fwOXgA4OgsMsHhvi
6vhEar7wrJLwN+/WWMenWEMAFz5/pYAvqV2avipPE4xXC5mhQ7KWPWY2dkamMRMSvJG5zotQomzE
WSK0u8PX6qs6hREmHqsSGsAK1OmOfRsnLU6L31b509Wb55fB9FH7tBkWi0/VCDfoJz4VnD9sRRW7
8qQ2cFTCS7I4CkWETUinHsHQiPG9hroeMLmSbEnpLgSqxqjGNIHd+I0XfF1+jLGu+zLrZzSDbyUY
SMkrXeVqfaa6EE5iZRxcZSCVU90SgMWyAbQFBR3pZnf2+JZ9f8siNNLYrWg7GB23ok0uoq26rBfr
og26KT6wsP7t/WzvibPtGZaRfHsSfema13VlZRdjO/TMXRoe2TXryypkUImtvDrhXlPFX+OJd/19
sm64+FURcTDnXoYJzfw0iSPJUEFNE+c8SyLOm2faxkZcILDSrvcdWyi62mSCttqGZ+ZpLsHdIt6K
CUhOAZE1otwPpgJwZswsw+FFRprGp6qwUfMDd59YIWh02M8n20S9fWodKcUr4FmjvjRegiaU9KSP
7rYoYO0DrZZ2+6PuVO/AmDFBHz6NCNrq3A2VZ7eDps34uQp0DFvLLWxLEaVSh8nwRKappT/Cpihi
D5PaRJf5ssxzdEdMHfZfmkX4CLadloCNXsICPYG0cyTUz2JayhZ2oGMb/4i4GIfPYJdvVYbXJeQu
8Dx6eFei/x7jf+6D8GffmHm71Wzw/rXdCKXZUCGSfjYhtvlN2bLtaUpIeSFsjJt3sXFSnElcD9WH
sa3W7f0CggcL8BIN3YD4dFUiFrd2mbrurxYvN9V9I+DWmfd9o4p8ZAk1925MJMuakIfsayxYmPxB
l7Z4AoU8uMMz0vYT1BadNktUnkoIBAWntd7i5Q4eEvN2A/Eg/kUldZicBgWm47P0leqeaFnU9Hbp
a+fPwVg1603iDRG5FGtLPhNRtMWHakzKIRv8FEATsSGJBYlGCxj5zZuNzKMl20TgMisG9RHGHUX/
zkWJrC6kant5mtZmxtm5RLGpLsBPU/M4JrP4qaAJ0GUFWobLu2olBkdJ1a/LWUQ9LHBPBK9V833b
QOD4UpRuAL0mkHP5WsU2CW/1MAwinYrAiB9VlTRDVna2nZo07mhBYHQEK/Rbq7SdTtPCSHCabMdo
2qltGb7yKcEMThEpKeQMV8yiDkprUphx2u7cXSV5YJaO4/tpXEBMO0eDgS018Quc4HG9gy4nrCDE
I8ql8s8CISxhC1oxnQm9RP1nP8KfEQJHWkPyLOXtttW3ywSW7KuHP50p0mqc5IrzfhuWvk+bCWl6
SdHxnu3Pxc08+gQLDoOE0EKtJvmgMMr1Qw6TgxNyIvDSee4WOISm4H7CTFbBvr49z3PJlU9LOsXb
/bLaEl2LFTZWyQ0pPGpEMNmq6tbCZQ2+o6augxcRtYadqhD+3SdLZpqcpN+25pMhG29u5mlbktzp
PihO48IK/8BhlvOeUNvUL+gcMd+mtVJTcoFqfDndJS1uME+wi+/jS9jWyHdTUUQjcN4wtn/QJWna
rN8MnbJwMBKeqcLYol7Antss/TARGIunrgsnGN+vRLKbHk/GzVMPpbt6TGcfwkAHuuLpuJiE3lKe
2OldZMeg+87qNVYPQnGLPdZVWlV/cBVv2Akakm323JdxPV/wl63NOdJtaD+Kdq6KO1vWDb8FiVao
R2cYDL7OOI6UOMGXiRd/bpBKhqa5rZroxvZ1WQLbDAYW9kgMHaW7qpn8cDM0mgMzzIAhJmc7wPUw
nSffsRf8ZvxphhP1+k1BNB6c9IRVfZiNkF8sswDnU5GtxbC+NExM/CZOBnBdoq4DWFXPBj7BfnAT
LOVMv6wgkMySZnhQiKv3mG4UvVsXX9Y3QcdCvBzVRRu4V623vrsDdLfaUBV12/oTWcPCSNjWhNDn
60sNJxmvRrk9biQJtcVJvPniNm7w6SE0K+Bu9rDgQB7fwf3CmlsyVcl0s04iia6Ze62gCVBiGa1N
pwRRTqBXV26uzMZ68f6ZJ6tKUrimxeIiQ43zLW350ph3ZKLx+H0zdgibVE3zGt36kJP1KcTur740
doUFDf5I3hfvWrTDlg9xi0W821hj1lPHXTTdIP8HQ4nFhWv5edmkXEoUT1O/4WOacr7MSxvoj5L6
Sb+fsWYzjN4BC33XzHVVZ2FT9fbLOkgWfdVM+linUAgj8Jemiqvyjw6aqeQ9VOvD5HsfiqT9Nqqx
ZbhfQRARLvYNa+SNlpP1qN8qEgtYGgfOIxWqFekD1R4kY0UQzfJkIdLQe2D0ZPADqvI+zAiSenO7
ubF9lQ77+9ySRYmsXjf0XLXsws8RAy4i4z4umgx30VDCEbGXLmdKRmJO+Ur0+DRUYwXKMYV852VI
GtU/cj0sgUoFGFjfm36c1ktE63B+RztioL+Ld9bkNYy7pbrMCk4570dW8S+xhcvLyYYFWgFxHUzi
yXdDIS/ENAt7h/cn3n1QrbTbPW26EfbpXYjYACweQLU4byGiah4LrZJhzeIwLN97IF+CbBW1nj/Y
bRlBiAbvlS0ZZAyLNpMJrYd3rUWPKa10qcYz9+DVqgsoavQcF7zrToYUDF+ihlX2Y+iGq5MrfL5R
/MSAVlZllsRzxE7ajYS6tN1W/7mJYUkepZsGa/F1ALmNfyqt6B9M51BxZVXZBBltoArnM5zucyoX
wafPzEH24KYUy4B8L1f4daccBN5hSj0Pg+m2xhTIs+u7ScKmW4yn1leuy1t4M/uvETHLfGGyVRTO
JAaSZzSseXziCvDg1HK6wSy9CJYpNVHR2CcH6FTSZVpoqR5aW/h3sb8aoG5m4/c2jltyjuFgsyKN
ouQ4mS3Esb+oOShvW9FF06tTBZ0/dAau4ngjGdk3r4plzoqlCm9QrsE1swWLpkenPTVrU91U0wBh
jRC8aiRbnm3blAxpDzMkcZoMYTcl6oHPi5b8voSUkk5F0ow2qyiDtXu/DSzt+7ARd/FS+j9CsH+a
R4bQ0fnW2C15HANm3pMFEq+4AvHpoRQx21A70dC8n4MBsN1plZkAjfwR7zkga8O+nkONHDTkR29i
9rFfgvLcska0qdbrdD+3KnlXLlDQP7XYxlm0uiVjVVHfhGGYPDhR+ruSruqbL+fmJeHKZDURzyoy
+mPUJF2SlmSwgJ041bZjupI6WWxaotr1Fw+rOn8DL/vyk6DrcDc1Pk5O2M4i05vb1ktnmujOA74Y
flyCWL6UauGQZWdTJ4ObQst5UWmBnRuDJu8r8kc9FX76GEVC+HSu9RoDyknnxZ/qqx7ArfLrBtmU
2FA/wFl3HC3c0Nea982pFDMN7mYago0NWulC7kxFi+TJBqudLjN4/uTTJhQTWeLDebp34RCV31C5
6vEcTSxgN0M91OFDs84KZq9lN6t0oYOJP3GnBvJu5I4PZ8g0+A6SBFZUt30wJ+prUMFLuMkiX0f1
idimmlIX1ShFk8nJOjMKNcqSFjzgXKU+8q7+ucYwf3+Y137efsCUakE5VE1xhN2tEFvRkDYgDDVn
qOgULDexqpvnleLuf+67kOvLJHHunHCjKeXteIXfnUepGX8HUk0T3QM/y+mJJmuU3FLQpta/aoCx
9Ttnp3ggmU/Kubqzo+VEpBAUifE8ujVM+f/H2ZctSY5bWf6KTO9QkwQBEGYtmQ0X3z32jIzMF1pk
ZiRJcAF3APz6Pl6lmWnltKSxsqqHivLdnQDuPfcsj2iNRYAuGJTN7TxNzYR9oeyE8a99iyX5XKNZ
NV9qVstjqDEio1NrxBd/ojX52mLAijbZaobERYDQZYKrA8VSnC8rdvdpXGy6tsUYfebQ9M+vkcHe
/jZNgwxUysRAcF7lHSPrMzebskVMgkDQeJ7zsU1kTpvgbtoi636GkPs3P8YKarYsUogtfHJNaSUM
B5geH5DxzGqbdSvcXfeyIoF+4Fhl2BE9Og4RtqfSCoCFZQdZ80FRrzQHWpe116bhNqIEiBvOeQEb
eI3+AxWfGhK39rdaBDEus3lU8zgWZi/roh5fm4nodacVmeVxmuTC8Itt0ozpEDR2/VpLBi0SL2s5
fZ1NPay7vvBaksh68c/VUOQ8GTAIny9OqbDATyIqiAEnoOzJ2K8DitKBw07mddlCGUEgPeQXXQTD
3uQ2ehpo4GZUB2zb+nvXNE08Ihs0hiisWCjyxSKld85EzCUF4lSX40YnNGilXEQ8zUaTPp6X2UyP
wjei/Lki2iTKttrzypSb27kaFxMyJg4bb9k3h6C8SsVUE5mfEMcc8jCZmk0R1KPOI3u74Qre48T3
xWnGZq/e5VaVKc74ML/XwTRmFRm2BTNVkpMj6ls6Jx5wxCkm0TzkCeyV6Ce6zuCfraYs+qMsbycG
vq3Zh7ur1lWCE6lvXxkgfG+nyrKb056wymSrhZABTR+Bvm4TpV/dRcp4aJgrV9+BB74cm7ziHVZk
vpy0B6DjKoNiDo5LPjdfIxQr5q6rzXSaB9E1ZRo5ZxPGsHEAiinyr7C9UFVatNg7KzXW13n2UMBt
8CExx0ZEZdJvDrkkUH94h0qMtLkOM52a65gv03npe63eg9FGdaajenxB00mzllBoRvB+eHR0m0Ag
WWND88pgRvIxBtxDLjnsNypcxKgz4saIdkeROr0kA8p7nUQYbK6Ixoss0F3sm1MyDKNNmgUdIwqb
XtoEihdXxH6Ji3dwddAkPYgyoOjCXyS4atnNgFdmssn2JMzKyjdr1mG7bKF16hNsPnRwaXm1VFMy
07WvzjoCjQYWatamCDbXC6Kjw/sAEYbpqoVV0I3niOrtcM6LR7+kaF7zCa1RzBF9d9pUTizohUOz
pTVGjqyI8xkiou95h2iOY1CjdI5zaPOjDz0DhMCZhZof0XzWw8R5m7G9XUkk9fyM4UQwXgxk3839
aBAZeRcucONJomjszX2L2dG3cOsIbG4KNpefS11AW1TPfd+ANtWGL20g5ypGWmsZmxqREuiYEZ2H
vW/tP5cVekQgctOunhbnx9gjbF7FG5A7ltaCl2VzdkagzYwhx/G/osDuaKLRiK73ri828+j1AxFv
Jh+65X5ZK1mdolIWbZW1S15Xx7UorV9ivw3Yz9qgmvxau8KgwN5kD1PhWg/bJ+CsLbhCKxry1sYW
Z/l4sGoyWNnB8BrQku4AiftnaNFxkEQMjtBxZ/giPmE9mCaT5VzCKCXyO3sx0dLVX0yLBjYeR2Bs
V58EvPtAbrys01rnY/BCgq1d75yHruQu1wjEeowAQAW/td3LXT9R2v1k3STFwfpF4yVhCF/hCw6y
Aod1YVlg0pwLG/UJIoXAkkw2H1yB5xUmMN6Jw9DGO+PCEvVp4TTskXDm2e4qe8BRMe+pgS10X44f
HqNVeRdseQf6Re7V3QH+3CR4gDxMcJ0g7GYzgLk71+8QU2fGHQg9fZsAPGbLt860E0EO3DZHR9Kg
a3zzmnZA6c5R36X+KHsFzR3qzPZuAUxSJ6CRz9MSw3LCD84eDxhqaDaT7lBhnLx+M4GTEz4Vz+e9
KarIpCPr+zprKI2GNEDwxow0+LF15Q5FbyPPeQiXKXDMmlsKEkKhdKrKStpTPnsiSkCHLyRLITj3
JthH5y3Gdpj46OLEV0s3bM1zHx6wT2oMJQccYTHgJr+OoYvbVDq03dLsQrv4w4eoWN0QlEh+OFPE
esKrAeH0bQPZSo1BwDwla4vjMExIM8o9D/rA2WPtRzR6hTVuO19u15zt8cGrUIWJ8i3V90xUjf1M
8GkkiUt/pnrZ3Ux7UXev0baGd8utUTjnRNcWZwxogfDRcXlR3LvWn1CTjQvl3oqeDK25SAApMxTl
3tTK7nvlsGWDwuRE632M80qG3QIPT9SFWOaAzRHKocfTJPUS3bNSrQVOxEhtP+oSoOtXpYyud2ER
dsTg2+1ph8hZPlaPIaoaHA2BFCHb9djah4+yD5mJ4hlO2O7OiHCJXnzAEBVSLgBzzt8kXCvr154s
mjzoArj243qrxyHMdlETJGIdYN8KdVA/NseyBbyPiyTs6W4UqO94hri4ZThD6FQwk2yAyjUK+moU
lUhBDpujs+kBmF9QRET8Ui9hOD13jarHkyio0UeyIH/6K6YuuZfwznJoF3RLlrgRgSEX7cGE55Es
01K9kQ3xa4lEAdBlbmmj8a6aZvD5W+aJ9WVrwNxKIm8Cll3RpoOTxliQ+XvEpz5/oWYqk6CDjbta
txPZkFI8ol/SZXM0fUFdjDJDAawQdl4OTneSHkaAiWbf1HzzXgGeMHaqagw8kt5rMefMIJv0xuh2
hm9o4W/AAdkNYxAsCeWtIjHW3JX3kwsxUmFwAdh5Phikw64iPmBt3gHJdnGDJKkodoPtWTqWgoWH
2S5yO/ShJV4H56rALBLQRYFIKL1IX12YP07TK5tgHv0hinBpLx4gQLFrWLnIZ2OAQKdNEakCIizw
bh6qrmv4OS+arn42Eb6Yswuiejp5C5JDrivea4DgZrexB7WItjhZNcr6E+rZKl8Tb+GuGlKloxbo
XAgrqspLFizmniSwOOCuTzHuEJHc1WA93ZxaxRcYtXmTn0gJn782a4F4T8tRtGbEFzsL1Y8PdsSX
htEQrgRkNwdCumeKrx0aEsnKevsEkDi3uxUreSe3TVzQK3ByDkguMdniHky6gtu0Igr2nuK839dK
DOyyNRoCUz9wev5iqkVCm18vcEjYzcjjdWXsG84ERjkBuCXeMEVrwtG/TV/bNYyCBw11+RTsbo6W
Plo3y5BhHY2bXFUiW2Pq1LXjLThrnvgdG/OwO4YQLJrD0PULTYvV9d0lmGDHASTIw1hJu1EsuwpY
pR+TyffJDqOYuUqbqJCorvth6kXMaVvRdysQln3Ot0LZJyjPwxkQY5mP2w/aMVp862vtNUePQtF1
9ABuDVeIo8f5pYHzbvlJdyy0Fz8kk/vpBqb6i3MFmYBj2CBKUMEAHAeMtgBCrqYJnKZhDq+L104m
mR3yEY8j3oJKly0I6gQUYI7RYBjeWIRrtJMgcN41KwJQP3mmLqbrOG9+dxJI90JdgE+Yg9ItZ4cA
7EmE6hvQDEJTxSLST/CkRCGWTB2u9jYD9l4DHMBGeutmzK0ekWRcaeII8UcslmgYwQrv2e0blD26
8iL2RibvJ7E2BKrqSlQ/ltv5+EMsUIlDMsuK46AlShEP+13zTMcxmLH2CtYOc9xHE8Sj6KSRhyNK
r/JSGjACFgEthvwuKMVsdthGYfm2Nl21fszK9vaiN9GyzygGeGhjNajl5JzY7OdItP16j1O7oIcJ
5UrcwtNjiJF5Utwwwd6uOHMxp3lAcSzFaSpBqL4DHtxC1wuX9w0d/FCjOWfI5wvZ/A593hDF0E8E
JrO8rwFOjEP5hGmwX6TriuzZJwUCF85FRAnAok6uUS5fRQ+BYp90HmD7dd/l46DnuIKsKYx1hHEp
TTDiG5cP9MsFMCr0pd78jqZsq0jMZwyMVcywy86AShoNUnsML+7eFDsLFRwyUDob8vILhKRuGePF
IKtj2LdoOSqVmAE2yeaEftgyPx1piYl1+seIAb9wVLgLu1Z3U5N58k2FL3z9Y0zeX91LWENXYMN4
Xlo9RWh9KvYH+fq/epdoWMPJvBJih8PKQ8cqV+86Yc/8dznc/8Qdx/s15Ap9dzCD/oLym2AVDKWu
5nNriIbh2jT26G6DVcGDXMgheLATcKIE2aHESzSxaD3+9c/C/2c+xa9GJwXwYFuRUew0ohObFPn2
9gqm0pCgasKsA8B/9G9kzf+EueH/QmoZh8lNIaV8B/XxIJ5np/Ml7QtUm5CqoiFLPGjNG9SG1nWH
f/3h/gmj61crFAUyCvb0gO14hACAGR4X2QBg6998oH/27L9QXXrEh02ilAxj6vZbPfqvJurzf8NN
/WfP/QvNBcXy0PZFznYOGQNxObpjtTT0Dz75L3SW2ffnTi+c7QB4ZZjaVHHuA+b4Y9/5L+s8t2s1
M1nxXeGRCSfrmqP9xhn8h579VyOUoO4pqAj4XtCwwQh0loi02/Tzv37yf3KF/uqDwke/Nb1VuFxK
IYMfU1e1JvG4CxBiEgVtH/cLqJ8HKCpY/4eywKAD/EemVxkVRsAggu2Qvcg+h8M43SkfIM2//kC/
ra3/gbj0qyOKUI7y1RXhro1kCbhLds4AycU/H86f+WuI+hf/pwv9ju+rXr2orXrxcaWxQz5VS4mO
oSgzRMH9sCtFTmw8CxRGv7+7//gHYvr0t//E399178aqKOdf/vzbi27x73/eHvN/7vOPj/jb/kPf
vbcf0693+ofH4Hn//rrp+/z+D39kqI5n97h8jO7pY1qa+bfnLz707Z7/vzf+6eO3Z3lx/cdf//z+
o626FK3HWH2f//z3m44//vpnn90Egf/x31/g77fePsFf//y/uh/l+P6nh/H9x8dU/r+P/Hif5r/+
OQr/IjgIC0yywIcO98ZhNh+3WwTHLUADOEKHohB3wm7eIWexxEvLv/icRwK0D7gM31Ssk15+uyH4
Cw8oGm88HQ8DrJz//fYefr9Sfv9J8H38/e8/dUv7oKtunvCst1X8fy8oEd5eAiFBCMkC7BMx/stm
/mu+d7lE0csmSNenTEt+j+yiaEqJjy6o86zegeqtIDhECNN/+9r+h/dxQ7p/eSd4G2g7pKCMhpxG
v/ouIT+CV8TJINMwA3utI7cAtJA5YCZEbCDxSV7gpRFvWFNtrjHV1sshaiTJfGXZAf+r2hG/1ntd
l+1XVoKa0wEwBRQC9g0s13P24M0YVyNXNEjBDV7uSlVhjqUGVmch+pPHckJVW8Gc4hihZU7IQLYZ
RmdNnpGxNillwmVdgaEcgFzzBg8+xDjNnHWZipw8c6D0LpYBuHMK93cxxv/+ccy5fdcYtCeLCu9Q
t5MDmP2sibdppu+ghzZXRiFPjKEShYknjLPOls9JxZ39Rum8/fDrkb1IXAR70O/W0wxY96HC9FLF
qqwrINpGfwPHfDoufB3vy3D2T572g5SDirbjMpwfCk7zNOwCl3mKnhrdH1AmgNyAEdkn0CKaAfgM
OOkhdqs3f8klmGJe8KmEXf1uQZ17VB3N422lwWUoC7LDXby9FTlPtSnHwxR68lIQao5rdCs0XbND
bpRLEUu3nEH3qYC3hEXWm6HPxAKZBlDvju6cMCzL59BBysLnFwYkPJWVpqkohvIZ5Db2JrYox4YF
oJ2CwnjoJ7rhow0PW+1c3HJirkVbq5cF3vGfjcEgQqHJOwRh6MWjDqpsQOhjQrdx/TG0Ksp4W3eP
ITIQcEZyslxh8T+eqoKGqc+DHdig17AcDlFHztFQ4syzBKw1T9wj37l0sVcXfrJ51T4AIzAmbGSZ
qDu5r2HTGU8TvzXVrjnwkqRdvtXJhAZq4tMDPCp43JToPMQCmSQYeNWBrnDFgFcRZvJ1Pb9VCmEG
3TRrwDXFnLiOkG9iG2wWrR0CiRh4Rjdfr7jCZbVDfFOd9RhS3f6L/yjGWe4BgRWfN8z6EIror+5a
hAYzt1L7j56l/sPSrvbe68mWDAB1UrOBQQ0w6x7kG0zo2mXb98U8PzYN4/umCbfHcM4xpttIlUB6
ocHL3KqH2lXdPebyRUaDimWYk/MjqI9hwsoB0+fOCxJEHPYHDcHca9NRil9TDGBL1WDbyfYnxQgk
841sX0C5BPqFRjTFc8Cuphz4YbVQi1gwF46azdG+64ogo52TcKFqRZG0RMpsLLwoseC8pGNBq8OI
COysLpxnYdOmPfSu0ch2CwWHAlsEx1qbYN1BeouBW9e69qBwFp5cKfJ4oZbfgxJFn1aLqqCb7my/
bXu5anaNdOj2qunWNFy5fy2i8l5ik8mCKLz3ljZpSvBpCq9bzqtPq+9Oj+XPtrBLIhsU9T5sei4O
U9r7TdDhrcCuf8CclZ9GeBlfOxPOx61b2Y7AROB+wttOBsxwngoMQN+DPqpOXM3sMJtl+T6GzfBE
Vj/CREaPX4NhUUC6VA4sjUMS1wOE6mIWFrw+RiFLUOuM0FCLZXF7tg2tSUFiaF089cOyQ0Su2bFJ
Rv0dzMNNl0LXoa4LQLS0HInaqQJdfakjDOeQTFsmPkiycxoMHoWiZFkpQh+o4ela5a8gOuT3ITiq
GygOUgcx6Bb4nSX6H1Bj/Gh5xHiSN3HgTePrNPRbUvt5cc/nsT3h8FuvOcWAHXua209u6U7GteWX
3u/WNYmKEeu6XEHtslTWMKQxXZEEmPnSS9nX7HQzaA8z2ssPB1prcey7bsjMMnenCPyXtxCxo4dN
afDAVriQxB2g9j2y08EjkuBH/ax07fosR4z9TzFFEwY+2/zWgjN9QHLZfVeSz4M106Ejng/2L7ig
EarGLe4bX7ax43LG+t/CL42oOZz7y0K/wZOgAQHM4QU8I465gcOza9vuWAa5adLf2c2YBTYPYKKu
/r7NMbg+cuVWeelbsLo+wPmZlidfteEzRPDU7uae9O8TlsJ7ngfdK4Yx5ApCc1fGuR4XLKERr9bK
DSYFCoxWHFJ5+Fqs61vdSnLG/MTmZw9BmgnHyJknbAb49ztRGi5U9AQ8mD79zpaGSxfQ4srxn74L
2BOOQhiPGaEa9ThPkz5iHl89L+j1nksfJPAUCUMBu1tbOfwsWszZs7IS/HM3WPodI1l3xEyK7R3y
Dc/crdGHRMJ5GOeBpw4k8tklVyFmVGQwwzPc1Pi1Q+x8DJsFsV/9IYzDiQz8qc758KUN+fCElKDu
2cHj6gDRxLorpgK9Xw/GCo9lGNkr3XJ6CFlVZGJS8+43Yeu8GvE6lV4T3U9wpFGntX4iwGHOoF9N
cQiCb+ZhSNQnCiJ577NGFtMXw9QCtVpfYW7bNkhlziq9sK/cK4fuXmF8obO56jYVT+CrZY1PxilG
LID/6HdUY7slxWNpmHlrxt7/RImhz3r225P0YVQTUKvv84YUnzouQayAdA1Y6Iqn2I2LUZigjGva
2MqAPRzMZyR2ASmXEXlkDi63Pmwpks5sGmMSG+wwPiIuwfR2/TRav1NprQYMHHhX2zuHrI052zC0
pfF2A7IQyKDtQflmSU1RHPNJ22+lICbVoys/F0E7XQUt2oSUpZ90bUiTFV9wAqr8IWgxYCXSRhgb
2O1+QfxLOg5ygiocY37UYtHeWpBVsalCewDXx1zP9txj8BlCF2GW4CAmjM5Pk1blCeUM1AsBpkpo
RXL+AvZqCd5Xj/N9L5XwH5AGsIEoC3+WetN8QnwlHZ/wqB1TrtqDX4E4h5Z1KUc07xmRXy4rtSva
tJvG6a3P+RbnijkwQgI464DIh+OIglA6MBJrX8D0Tm/F/bo5tptDXKNhOUYXDo5yXBUjiI9h3Icf
pXe0Y/cGkPodFiyxonCfFW/jamiQAEjFXA2k3m+oL/Vu9lkP9NC69TMp3fDQgDySUUyA67QJeXR3
m61sewcIHvLKWu6hiAaFp5bNLSEmPKii4HsGH/gUTRrsQMAKLZOIYfTjL22f2dzz3cNkvUCftN7Y
lcsWYlZWkjFeaaPOVS3rl3VBjHqAaQZCPhC1ocCMf1hLBIxmqtfuYw3aRiSFNupzNMs87QjDrB8s
VUETBfi/T4xPdZvpNgpAT+0mT+UxMg5w1P6mOQAIWyWq6g3I1HlbHJg14RFD5H7Hh7G7dGLx7pQR
Q4D6tn61uqTBaS1Wkirjixxpz/nQHFSkuksURBgP+Bs74COb5EZkOqx09b8tU0EfQhNMqKsn5z1j
tylBxkOSdp+WFuY6iPDM2jVfTzXCNcY62lHQ5jIUPUhJyLviYhib4mBpyPtm8hkhonwmp0ipd1i9
S1CaRElitwXNx9KJ4r7GrojTf24hHQBeCtqEy11ah153RfwIqjdEbL724H894IAbztoz4VlKguFP
CBFEiGEHaN06/8nAcM1qn4p7y6oABbRYKvDnwKwFtZq8Er5hD3E2z20i+87b1307ZaJhw9NmeJjH
dg7o3Zh7MqnkZt8ZSPmPDrv4PiiIB3gajO/W75pkaaaP8TYN5oU3pOKW4sIZAlcI2/yU+eYuH1EU
VIaeKX6hTLlaZCv3NFQ9Isw4Dpq46QeVtVUuriDol6/+Mt4N4AnvMJ6c9g3IKxafepsvIyvqMwiw
AhtJ0CwH8INQuBVlcPQQoXybSzZJ2HTnRjefeNB+kDy6n9dIg6NR1slga29XlZ05kirCyQQPWC3E
FHN/3u6bYWi/I21wudeovjDIzAtELNTlAQCeOQn/Ww0bi3mew11NawCG1h0oCUv0UptJXenanY8D
CYzdwpUKs/jiAPaGS/IAHg/l0VbsVDoOwmZxrreKXwtR+OcuAqWpVhBkJVvP+ltMDKiltv0Rwczd
j6fVvMDTEEV0V+iER65HZktdpcC06sfCoaLNxyI8R/MSPoZ+G51Wr1+z2VcgtpMIYiGs9vPibsx7
qkcfJWjn3S5DlgiHS4PYsUmRg3bIQbfag1d2Ag15DzJW6kflHuNOXNMuMR1rUlQd1QmDc4WIOmXP
Y8C81HGcTaBr6OXoi9bfKaIwEw8ZZixtPYbwybKHsBoOg4caYgvXKGEI34gRJdYc863F/reu+Knz
XpOkbB1odeA6nctikG8e68M9KKT+ZzApwwShe82pt9uS+sQvrg1hECgYuR62VQVfMV2nn7nY+idU
wOo4wxLgte5yfUQEGHny14U91dtQY69koNKF3VhexlmV1xLm/JmHou27D5fLY+T3VMXhrH+AMs5i
Es4XO6gzROcsdV7+zbM4+6hLNvg1JktFXjC6wcDQrTzujZwOxDXiaINFXg038hnU5jntwOhPtI8C
dhUdzUCajUCz6y9eCbd7v9Ip96CNoCG6SK99UqutUSd04ztguDAFQylPwD4mx4kGB0z9ycmjVZt1
sC6FymaeTkLWTwykBRZ1PA7C8U4HnwfPXhdwbeF1sQtm/qUuzX1nPP8A/c1zJNWuIO0T5oyHvPZv
xxIHEwhimgSl4eexkG9tK6Foq95HABtJMyKho4g6jI3s0h4kJB0xjpnuAgPGANfxqI8yqs8RK1sQ
8cPtzEd4tgoWNYe2jvahq3VSg6FxyL3upghpij2iLp49Ctw3ct2aIHHWphtoCTUuDs2PHkNzBaCz
/k4DpTHIF5iXV6bjqVqwR0LVcii1oimbG28PmVO+07XIz7ZhLQxPiukgIT4DaWxQ4lIVSNCIrEg3
zGGP8BJs9pU4+kt5RrrdASJXaOj9in3qezFfvFDQT5UKQbkf11nCMAGubPu6bQH11rmLliRSC9tt
U9W/EiObNKJoUTYOnLkFeehcam99BgX4oWYe2BkM9wdrAYPI09wOH52FZKitHWnjIvJALEBor9dH
6QDYdweIqT+qCPqIgdo6RUCmu24BqG5cBN53is8Hlu9Sz4nA9OxtIdFwXEHLebBLx3Y5ZCyYwsl4
QjRTtg7W2/F1Thaae9jz9BvlxHtawc9Gh2Ole2xh1AN/KcLH3cww3DbI1oiN8fDVY7oOGoaRmSGQ
/MSYMVxacAdT3nNzEbB6vaxUX4sKbhib/wFBVgn8W5ykfLZejekNfYBb8rGdq2+gyX24AjSl2Os1
CvFgsE3MeDEcJn/UOxybBG5DjU1VQLxMk9bcLfUKKYkg1QEn16H22cEXE4Yza2q8CEoq2R6iSGNB
iTbDafvBTXBHOib3k9gOjPhnBr1XjFprN6zrlyUwxZjAlbQ+DjgOnkffc3c0L78sNNiSUZNXWkl2
3yo7v8MOrz/g9rirUbYINBBHOqAbQ4lCnq2kV01h4aaslwjd88sQQM6kWPCGDbwAUWBgr5S2fkp+
s/t1/msrOKjXPBqTDeIv1NCgkdYJCAMfizcF8YqjOZYCAoMaCY6xa/nPWkD8WFbHtrZJadqXAdqC
uAbPpRpWzOZwgO+Q9AhVBt03nXsjfRRi9ZA6q0zuVXETNqDlFXzaNWF1VTlUotKfH8zYoNQDq+uh
nOgnhSl2IiwFHavxUC/CnXgn/GABfbjaWfg9JmEVNIDy/PDOWjj8Rs3apfWo8pR1PINyMINXrx4T
5q+nsL4Q6Z17U1VYjt3zosDUXrtTLid5qKbljm/Sjum0LDJdtN++FIO2b2A8ntQGqkCDhiNue3vg
Q2P3cFULuqyxTh8rkMJ2BCrkI/HL4FBP/vowbGvxtagR5o4V+o6W/4WOTWIegj4GI+uHAM71AtaB
PvoofY8lkKGss+uFQNwTd6BA7zwrokMYNAq9yXJftIBblkX3r9RXEAgqtxRxRSKa+T30diBlgjfc
u/4SCCBmaBtyjNg2/gxxVJUgKdheNRiawDIDPhw5V0s6EgvapbSw+Gu7WMIAAT+UV0CPl1eZgPZG
xkNPq08rs+EdrrMMYdoX+NFPF5XDv1grD6jXEdzvKMNjJ7CxQxAy0SlmmnouxWuK7/2WI9FammeZ
q+c20OVeaKQpgVhXv5IOyPfAxocFBLdYVV6V1VCiwMWWwJkF5zzq5JUAfA0xjG/6J1DFVmhl1uzG
egUBggzdcevrPhmM+cL0agEdjOWRV0V4bbygBu+kJICIm7ofYsA3qJaNpdFFwI4enDsInEXKFO4H
acualh0M3rAofghAXWCXOdhEcWUf1VQMflrf8HDpCVAJId6pg6D4DBFdfZkiKLk6ym2fTZUC5ZPk
NyFX7qzaG3C6vkKrM+/nmsJMFZUmCqp6SdsQJ3IF7wkVjzAAItgXHAQ1kom1uKzcncEbJ69Q2oAu
1990cRPx/RfJGKIRwE6qIUrWrbpAh16cRd77BwQReGcrig5XZ9duJcifXNwJyitQm6bhgIfQzAuq
GbppGrxWsmFHTLKGn1PZo3TMw+liRjRMHaHeY9Cx4p5wTfdDCStV8MhRAMGYy4d37oKTd+1bdvHW
OR1R/FFfBv/F3pntNo6k2/qFNgucIkjeUtRsWZY8pJ03hJ3O5DwzOD39+VQ9nMrc3VVoYN9snIO6
6AKqM2VLYgz/Wutb5OyYUtx57a1AoDCjA2RK84mFvzzj3Iy3Q9T0JX4Vev4wu1gNloqC2HcOfRkb
d1Oz9TnLarabgTFbo5iEVbMZv7uS9QJnwpg9m4Z7UkTbGGaO5UPaVHJlTPb30NOtD90yqhhrpRV+
hnlSPHEMeUs9gc0yay+m6p5MLxsoBGTgpXAkQZ+osWM53RGHMF9XweDLleWwm7SlfK9F4uxcwm8r
dGR9PVQ93yLGg0E0Z8uDrgbM3XpO/JrmSsZmROB4tGwGdJJwXwHAoUrS+t7NLFI1zeTQy9g/D3OM
w8dsaXfGIUDygJySKeQ93uTkisum+WoTNYcWHjrj1hLKblbKtmK/FlxsovCJxKy3d73bcQdIgnTV
cQLOyYI3pYfZdH4kHP+hIRR9kDGCYiUgo7ca1C3OnpOYWHVLNgWqN8o7uYQPylkeZCS9S0zcakW5
Y72pevNbGbt8GUVinaaCs3Gb3qJPsEDeB3mjRFTeV49o4E7WMRkI4dqkGsjs4wOsNSSiPN1Pg2ns
2HW5GpuHhFPTc5ob4h67WLMjqhMd1ORqOy52eHra/NInUvMnhKmN0/R3Bgf1zu0HaN9MJdeDuXR7
UIfa/TBPZN9q+ymuJS+XFcgrLU6dWJNDoDAKziUUBKJhq96wztrS6HeGoy++G4JyNNyIS3GWeUyG
ZHbsy+lqmC0PZ1s65MxG42CG3iOODfsYl+WjzkPk62K8xeG99dTnT1We3s/9oq9iSQJkwslv+Etm
OM4KWIK+k2Xbb0xOOKyFjEbtde8NrMmjkxHZp/0vZgrQ2nyZR3AKhmRBNry2fp49TX5WwmFqWcXe
ioPFwscrun3F1zCYb2QErtRZvcG1mp76uAsf2mVZDjPAxpNLF/kqq9NnEcmL7FJvowhCytQ45phI
XabdW1t0HAVn6+JxLjomsVqB1A6Son2ZVfoqhopBa1fHq6ZyMApfwm6IgwWB5bEVVrEytSq/WnrV
Hpuu6oMhkvGLIAu2ywjVBYSVKzJqbhAthhM0cW2vaeHVtkVPyEtdJrSmUzTG6SHlWXunTD4JV7lT
c+zuSceRouAJiEpxZygTXayxC6J1dX+IMBkGk9HuDcl66ttiSbZk8DgNJpwW/NSZ2U6KPMTyKWyd
kaOk2KkpPD5GtzBfqAu3bwcg/HrulJcfkEZ6nh9lVnf8pemBOMNz7zKiyjVzU7G+nbw5T52VRlL1
20IX0pr9cLwk4zLso7rMYt9re/0V8Jv2xL0f2gRf5ZepzIfVxIw9DjIVd2fWha7ht7bzr3Lyhm+4
5rjXMTTwBkShLBOEoEqRZExvbfUi+i45D9rEYzxnfAhoTGN8H2IInkkpJBwz89rynnJDdvt4qhaW
q1Yf3kbdEc8KhjWZMYc5FdmEqmSSaduEfCozP0fYCbE45ZNHYDG6QVIdLNr1yjad5FnlI+2osOyy
VanMZMON2t45INsWX1Y1qUCHjC55onF4TZ3yW1zQ39fP/Teu5RqMkYRUnN6Y33IOfAhuCwMrX0sZ
iXRKd4+D2SesFBX/BKouu9Msq5gjpS5eiZnzLPGf9e6kWbL7IH+V4C6l2mBTq0F8phzINzjE5d4N
I3lCZZ3uVYszWtDZtW/l2G/qJBcXJW1WtNiJ+KI0Dp+eiqW107SwRX+KyU+6yD5Mukqfo+LwnXeH
boaeygbHSJOdPrVXOdnIkAQ0KcuwhbZKwzQ/9ZqcHpmsxRsANOQvB08HqdgUvR9mUhLyINQRBQ45
6sAxQvFREdkd1nauN4cOVsmz2XtGYDKV3TlTbp3zUcu6lRO6I1K0aa2sRnKqtKmFsyKHjW9KNiiK
W5oe4ZEs7nsZk+5zmzB94IsPQ1bz1L4yK/OsD/G7R8dH6SecabEZDm82KIFVZ0fNOrOXBxUPmL3q
wsO1SiAqjE26eftiCZr5tU4ACOuNb5nVPYpgxZ9vjOeoboJhzlrSbO7yUg6xHoBnadcqVWMwTYbj
h3l7wEvLrcNZ2h23wHhDp3B4VTXWfEfJr1PYx/M6Ld0GG+LQnlKX4RdcQedqZyEQnxSTLcTceNnE
cRpexnJMNv2kTW90u32H3yNWmRfa57JtixcKMFgRMwLpjuclFzV61naA51GsWq+BCIOKIhfwbaF3
TBhLcuvI0vQpVnp/dUwEn7VJV9ywouQ9OQpv5kgQubYRRBZ7ssicVbhY0+M0Z8YOoM2wtSePCxpG
UBREkuwV0qk1OOvbTu1w8Vg7XoFjHUOAj+tNf5lU3fqT6mamKUN+E2aNIIX+syZT+cTNjFNKb7db
t6qtUzqmAPjmPAmISH1FfwuPHETSu5zTJI0hXGjmpJBH4h/xakjTfD2j/Z3yNBZfHG1ZQ1kYN2li
zbuu751dVtftsV5uUR7V6dcYFyNEIPZBv69HwDWcWpptX47hYzxM8p5xJb9KiijoNKV9RJo2HnhX
MdNLe65PRqjECnWtnHxMuyY2ipq6E0ADzo95LmmoQX3hDojqNh2ANIDIsBe+PcxSn6LFVmdL1Q9a
tAQl07xTA1Zgb+dO6vk6uI9jBB1I9xud5GCArAK8poYu6S3Vj2aUtDuNEkkF1o/6zLEObHotD3dW
lPN6VVebW4ODwhGr8i6n5e49Iy9urIlmjY4fiTJ54fP9OpsNLa4MEdi60NV94nNc26YwkGn3qkMI
2MZ2kiV4smLR+jZjOoY76Hd6YNsW2YjFUnJNdxmSYmsMR3BCcuUSrHrrZ2t+SGf2x7pxUr/HaA4+
sTo6pYCUUEvBZoNmzvm/mePk2uO7ZlycdtbZilih+0p/QGvAt873txDzs5GL7JMup+Sp81rnEwXO
uxPKOCQqtWqf+zbhYtcc25K10MhX7aRVrxqC7LkymvbGkDD4VhhaoGdW/XX0CK/7U3jLu05kDo/s
BfE3ZqDcPMzGOkembq0xBqUVH1xxRvif9lVcEh3vJls/khXj0U57BCZNNFi3tLeQROpXj3COXMlq
0I9Mn9lthlSk30KGlVwT7FFurdFId3h2PD4g1XxhMPSWxMvHOFHtnCrZPlsmMZCkEZja2U6TV4P7
55d+BtDDKqTPu7HlnM5do+M2pee4A7izBJGXDLC+pvLizsWyCktXnqn4dNZmnY+7pcyGZcWkr4cy
GVU2hTqEY6KRmm3ac8YeqAbGzd8vOBljic3itBcUL8Nvk4poZRp1087VYCwsseZutWYyL7cmmjtH
Q3ntWY+umDy01cKkP+DQPj3kIrJ3Zk/dRNyX1nOT9RleB1wrqD06Zg7NHradus3Htaw17lNzZO6k
t4WL4EU4amyzoEoEZiInYidIyplB+5DAJzNG6ClkVu50OFGrvjQx+ZQLAaqgcp00kI0kZ+x0P1Ij
gW5ThY3CGI+doc3yZW1axpPDbH+V6AapK1bTNfpucafl5oMYymVzS3P7plice8IjwNmSafoYcqC3
fueO7sVG/G65Ii3evZ4YxRWR1ns0NXt6QMCWH6Ybl0dtluhqpT4c0hZozCqKcnIAVew+2lTs7Ger
f+2YQ9/AZO1ysuiY3+CkabdspfhdiGGdlVlcMe9ldxNnrl1KciWwR/elKdoYNlSTcJR0p/S5wa/z
MIIMmXxd2enL1CxoBJq7YG5KBohE1nIiY1yuygy8K2EHZ9/F2TYuxvggCug7Rei6h1SI+zrM4IFZ
hbsrq7ncM8sYVktSFzwR03ggJLBclrRlvtk6TgHTbNZfQ1iCJx4J64smravbhs/eVI8PcRuVgRNy
i8vaLgpA/sRBMaWXGJ0wwQ21s12H54dS+OOc1kxe86m8z6qhXZVttrc4zl5KQm67kUvUnTcXgHS4
PFmn2vGqHXO/b25XP9n6fIwiBCNXE4eyKRBtdJq0d2k46a8xoZ9NlxfeVth28Wwoh4WrR5Pel2l5
MCqpjswE8ITYYgoSg6BmnvFGufhlaYgyCUK0CNWwryTcEfxKRHLJJm6iJkp3ppZg66jAuhR6Q7wx
6xkATGoGJVxH6LKxrecXlmninkjy05qdo9qgSepHZQ7f69Zg1tNFuFaTkdFejhR5z7olVvi/5gN+
AtKAXjQ9DX003btlOO485S5XLJb5eklCRlKeUV5JCLdX4MvmOoqL+m3Oh5TYv5qG41ToUCs8w/0h
Jyt8GbpsoiiVSykT6bDJePIX+DVQ9r+UST4HdVIxNYgrLchKM1sLYmH7FEbTvogd82IkMrm3yo5B
+UIV6Mobrf6B2UD8LR/Rk/2kLu2VxSASu4Mhj7Ps7FcjGyfWs6VjajiJo1pmuhXmbMrxbSXoCcL2
vjWhZ5O2NKJvDAk5Q6S3UZTVpJeES3jBRUCJg9u/3kZBX/QQV5YP9qx/W0JpvjDdSN7wpy1nZhvW
OvJCDRgn5eyxZhvXGdLKfgyr/ClMw3iNLMD1HsyMb3m18yh0Q9/GqhEr0HbxdYiQz1e1rfJDT7nw
j8qwhseS7RVhZg7PjdcIgXciL3ZFn9prDV7aQRWWtaEiD1Whc0v9Ic/n8Y0xizwhWeVrt4JmwFfe
7s4oBvZjobiAa9WcPWaV9pF2LQznlv0TeskBRGCHnCPac9RMxrsAgLDm5owDo6x6nT0x0TAGgVLo
G3h3XUaAj/HMcCV/xgHQHFUb5NQibJaWQQYZ4XFVe6bxw0zd8IhDBxgv+cmWe22o4gfJ4WCDGBce
iorncGwbYtETV32uzkwLUKPM61h14ZWscbWOMAI8lWHyyO7KmUdwl2b7JX9YOA5aWpwduyyfnuUY
L7u5J0tgazlua5NjbcAZOfvipTVp9kYL49fBdpi50Zw8MnZgvk1uCl1Ig4+5ccDyHjtTLu9lncit
G6PedX0BWo8r54rAJ9sVWt8j0zAQR8K5uftus/casN8PzDXzioJU8biQa9wPs8pJi82dz6XLO9TZ
KJlpoMTwqDZ+b2OQBwnoMFeYpQaVj7E5X0sU7GK6JwhwKRajxxnXDxvlhe4GNxlnzijRtiXSzWM3
wEmJhk7sdBsi4qqDySa4VM7ujwWICzvFUj5nuMk5C3bWJsllta8o97tvU9We7bDLDjFBTq7wGAX9
zLFd3nLjOwuOdhqoZerXEiqg5os8Zw36L7xiaXrje2ziYRTGKner76KpwvUkwvwt7+cICQXL8LPM
0T8g4Q8PQxmm0Cu64Z5sto4TqcQMmw0AkGI7Lf/GZP1/2QgvbY9Iy793wh+/t+/5+08O+L/9kb9Z
4B3nN4tV1fMM2uZc6dzSXX+3wNu/uYjKLn0iwkScvTnd/2GBN39zdNdwPMQI3HoAI/9pgnd/Y2jP
AcQzTP4ux6Sg5j9wwZvyVxs8NzspDKGbOlh9sku3+M4fOt/gFWlwGoxsbVFUITH7jL7CyJisYlz5
d2XK6h7qyoRTsFQ7vbD6fVVwXILj59WnONP6L/Zo69ii3Dh9lXU7ipWulxWkDgPaF7Ku65AL60sW
+ME9AwohjTVg0kswYTTVN3sRismM47UHpUvVrhQ4RXxvPBloSUsss3WPSAQpimwHSp+t00uHYe2z
rAXQVHdwpYWImrYjUAsUd3/mgFkemQE4zzoolgydO57uxKKHx6VrWgXJQZdfmmU0v1A+4T5hFhjP
1dLXMUzrjvRhqUcH7Kec05Is7kjW5spjy8qW+66EnOvnmo55ZrBLezhwqYh1QKJhqx0kedFHHXFI
bJhyJkBD54XRA/5pL/VHYt9lYCOeh+fYIae2FrSUAyfF9Jf7XTPm41kOhdPdmdLmiGuGNvJUXWW2
48epAYpLOVGrr5K0qLnZUZppKrqC1zoFa3fVDGxgVzF0sVcSgiLuBAZZj+NiFhYzFHBUm76f8n5V
Jj2eDgzu+uiTf82+ZRoEq/1MXAa7WpfxAigz7quedOk5I8O845Oxn25Mid0chjNgidl7MOn9Jszp
pe207jr8N6ZlMXBfUiaMWxm12aFuyWmu7KGdXvQ6cy5Zo8tvOvSnZK2kEugiauKtcSN3KSj+w0Oi
RIfnQCXqi8tBYNiMuQ0s1NULXSHYOc0xLVT5aOO16OEINg3U9N7Qxr09MQ1Z4deacLPwCij6+lCs
lbKsK+bSakfHXXLpCvwY/gAz/puhx2wyEOFm4LieOd6n+RAfPRCQQaQM+d0uYy6k4SLw1IWDN/EW
hIu3twctxduP/ykMlDOiW5eG/No4ylJ+Qbo8W42LV0wrWdi1vRl1E/fXjIgRAu9h8BYwOluYkQ+K
zDklRy0EI9kdOndBqbdrl3tF49aJQOhu1Q9pLBN060WUIXcRBpGrgl1rQG26eZrJ2aQbrA/hBX87
CMV6xkGQTfxi/hh7reHP0DUSPzL79q5h1P55yyHoe7cgdkn9KIcDmacVTo/RjpHEeaKLR6Y/btA5
ymWaj5SApd7v7DZ9qbnLwNiFwaTa0eEMLPEo6CZMDoisu5wTebrTcdK9ALjVt3Y5L2uHltU7cvRk
92MC7VwGw4YSlpFZ9Ix0i4GUW+NLO+K3GjprZ4hhxEROm3Z6sJn/PEZxuu7zbh6wDnIm3RccoVCP
UnHS1c3m1HO4GnkBKwYDFWpJ/YE/brkzB2PwVszi4RnjP87mF2G7jQYyZx70yLc4/2WbAUxlS355
SAndFWmWfIR4Iq+jKuVHlpPUCIBvNPF+nOFAnhOQdfPK4JFRG0/UUg9Gl3QEWRevt1xqSUGiMYpQ
83LSNC19YVbrIHRZPWNPNdnzSIY5NpWz0/qZZd4PYQhrfgSXYcN4s3mvpvpYMl+kGiQL0K0bX+dJ
WtVCUY0uBL+t/1+i9nBV1oqBYzHVD5059FsU5uxvyeP/6W37xE246qof/a8Btp8yb/+bUm66QR7r
Vgry7/f34HseJz9t7//8Q/93h7c89lDp8qTf/vefO7z8DaYpiTV2atNyTZeY6t93eNNl8yfx5RGF
gJUjb4B8NtRbzI3/ZPNJex79aobB32j+Jzv8703Rf8y56a7pmJ5tG3B5uEO5v6RZk1LAe/YgjSVt
jJCBEb1/UkM0vsZDP5xhbz8prdWupdXjqcA1WR8JRwEJBfmegT9I8zdseMM7E49kH2aeWsPoEIzp
PeWDr+k50ibiMkl9uvLX4+VJx/ohSor8eyrlx0hYh7M5YbUm5d4vK7t6qL0xfGqQ6m6mlO6LVdkF
hgyZkRuYGaWEWfYwV5jtqnxgxoCZbrLk+GKlUifIxYoawT0LvKyvHqvKe500CDjMfSCXZGSHpKaN
W0atTI5NMwm6jhmymptHTi7xOu64WVt1713rScsCpfrm0S5sbd2RGVlHI74atyWIAhiW+a7ujV+I
kEOx5fryw+PehHMpij9cWTQYZ7r+Q5Vu94SPvmCtCgGOcsDyyM9YThKwGXKZwEBhfMW5hi5g02yu
N653NzI2wdC+QI5ZdUDBvloFd30/94SdIMIN+hsObqa7Yc0C4tI4V7FgiZPoGRWidGfui6vl3TFu
DKbllosFw18A7/y9E+L/Lwl/EXx1sCmYFmH1f78ibGHete8/xWX/+af+viTYv5FptegwB/XOJNjg
7/vboV+6vxke5Re6aZi3p/xWCPWPJYGwrGEKy2OWTmRQSP7QP5YE/TfCsJarG7ZpGrcV4z9ZEm5H
+p9WBF7B9bhDwODgEvFrrahnJgPp18lZ94Ln3Sc/MX+JTTn9RSD8Zx4Dq6rnSoRNU3qONPm9fll4
Oqmj40a4vqSdDV8HXXM3jAoi1IE+G7YRmJLtHz6FfxGl/R1n8fMv5krAODa1elTOc0b/5S4D6YUp
S4iSZNxSNoCB8nilQHri4XKsMgAqmzy6mEFp3XCvatQhZTVesXwtZ8vY6o2XHiCBWgejGcw1T2h6
QJoeT9Bsljtjyuq/qJM0bhHjX39ePnJbCIFbSXd+uXuljpbN40S7AWGS4nNEGVx1oJgBm8FpDVJc
5/4YOZJeDbf6bCt9+cS3Mb7MEaYtASj3R6RU9gzdDtF+QvL587fT/O/fE+6rSMQEliyL7yTfxz9e
DYF26EyPZrlWTHlPyWJgLEzELavajTEj2slh0TXq6pj31rTWNT3aQfib1vzM7u6GY2b5jIrzPGGV
Neq9HmuXiQFSQQJNYaGWzZC9kYh2t3ie2gfs+dWHioxsW8xNff3z3+X34rxf32rX4RHiCMUY+dcy
LTdZIMyQklzXKo/vZtG6q/FW+hBMFGAhuzE0ufntxFqruvGzlCO+m7woPcjoJBR2k/S0i5qm/k2y
vms+Tu+7ItPE62Rkm64TJ6elg4Hp9LByCD6hB6lh31cx5IEofavFLXkTildP9NZ9D+W3LG9c42TY
1WSA9lmby3uW8+aOlOGCVhWPaKlmYoSbuOCknjpM19SMX9PMR+vU1nr86co2WsjPWPVRyGY59Zi5
IqaGpn5sCx3tG1Os1wcV9Pa/qGj6/cH95b1kACeYWBiWYclfK3KxJ3eZ6GaxNkKrOFdQ/sCmjvot
+LJ1LOOHlo7TWd2qWVYgf8FNqDYff+D4az/suunJ9Y1DgYpmOpQn5DkhA7RKvyxJlGihVT8wdsam
SDJrOkZ1MX96ajQeVR1i5Mkn7dWwsuiuXrBCrfKaidYc6dOdm6l00yup/8UXh5X1vz2jPJm3LQF8
geBR+PkhqF2yEFC/JMDNZrgnkQ9SibfWJoUJohY9x9s0hmHifs+XS9u40ZGhPfdr8G/4gaHAPYtO
zN/bMdK//fl3+l+sr+5tkWUEJCXs9F8ABnlE9UwuiJNT2gMFva1+xJTz2D0GMweO+5+/2L94G1zb
M02PxlIXbMIvlI+K/QEx7EbPvlXF67Qh3J7i9C/Kuf7FgvjTq4CL+OOKk7tpIjsLx2xmJcl3nbvI
HWFZ8LZ2X86bP/+NmLv9uvgylWOPZkd1qf345e3jK5nWtdmQ6RaWebS0YvlcEAjv7NbSr+bUseyW
1UgUG9xf+eDBsAr+/Af4F28p8z3bc2BBczC3f31LtVHUTSwEVAlneDFG0qBTiLj456/ye0XYH59W
4RocHAilsISbOsyLn99TkyXXxWDF0Fu017ozb/oUUe9kuEwATbzkPAE/5RrweTuWqjjXzqhCpLaW
yg2IFM2BpwhkAiOtsLjV4xbNtffFdO3MGrjizPyrTiLkWRXvIQGaN0VlaVE6mu9plKz+/Jf59fsh
XBdhjr3SBhvCuepG0vjDsHIB8doggjvrhm1nFcLN9QndRsEiEar+/KVu7/5PbxvXr9vGBwQBSAiA
kJ9fKl5CWgSU5pFkk9EhnDNth5dxOEZtmW+sLoTBwa3vL16Uo+CvTzVQFNYbjkusrI7gePbz645m
L8zCGMP1kI9PGNaqtRWhOHjhNL5CckZnNabuqkXJHnT1m+OV6cYZZ/M9jUzD7/X4yNnnZoh1fCuU
D11d33By1u32V2+J6qOvhslbaHZvFcHsRB/xL4BY9MknmX6TMyZzxmkvssFGz+3odmBOuGoKKo6S
GYFCE3BLE33WNy1WLKgBIdJFq9/hm843zjRi1gsp5rHq4qKa2CNBg+uT54l7y4pFf5/Z7iNQQXVe
5LtdL5+lvnTncilEUAoRvXaVps5ak5qbEad3EC6p4RdUQ/lt56TbHB8GVo8mT9/mmxloUkkZr7yp
Gz7N3Gu3dmwzai16y36bEhMkoF481fXw0Lpbxe8Jb8L4FiYgFQUEWtz6oDyZs2C/63NBlW+TMSxO
PDAhxICAh7XFvd2k2YMxScKwZkoZMuB79txWmd87K3NPOCi6TWKgNodMuEAUGAMNX6N0iiBkl/qK
a3ZcJ11JcC6dV3UuHwW6atA3ABLprcesCCg2no9Q6uxLGA/Nyknm9UTG3CPGjJ1kocrC2hEghrtO
xNIOUHa9H/No3WWjemoG9T3ldPmSmPBVsVoXayofvhQxxrhi6jad6uEOmI3x0qSpdRmyVrj+XFcF
f1dO4shbPN+zmgux+pcpUu5pQH/a9TUjslhFCESZi1fH0BgTtDQubI0lFw/EIIvPsuNjU60LmC+M
ox8uUadtdAsXcMOtL0TGjdeyqfMvY2Jty5SKLCx3k/tQVUV90bJccTuP9FjgHGtmXAvD/JxHS3+x
wlmR5qQTrdHa+UmLw3pLrC+71+om2lG7pV0zDlr3KqX3M0XSCOi/cnhlWWPeJKeAxKyvle0a71qI
gbXCsHFvtpjuoGffGAlFf4lV/oGneP5Ib7/hqAtt24bDgx7Z26V60snwIW3M5yacT6HmdNtUT0ci
7Fn1jd7e+AnqONd65t0cwF0jcJvMOGgOOOy+b/pg8RZyElMkLk6DoTRrqiXQ69nAdtyWP+C9Thtt
sOdDgXp7LoX7nYjgWwnokOAV5ZQYOM1k+uLQVbezI9iwIBqR6SxcV6qLMSaPmBFhWHxp6+4LYxSF
a0oY7UdeGf1L5GZyB6Wg2HrWXK1JppvkIcfuri1agK1eK3cpmvWm1dxoLSx+KEOX5Yvdltop4acK
aoMwSZuVV1bYaddQNEIswaJ4S5bR1nTGO8zJ3y0RkYqdJHMej0hxqVsTqemY/4MWxY/wTFyMDYNG
uNV1z2EHbdmoNPfRUvNH54rqmrejPIPfrcGEl0uAHXTY54V4WGrduqi44DMxITwHcTeqgw2XmIeq
jzexN44rOlYQcqv6zkkHGt4wOfm/h2RFuMTPvRUTz7Xq5ajrVMOJipIOHInpRtjdzAaBLV8AUX/v
VKnuBvC/98kSYsiYq/EEq57cX932QZynW+Ywbw1UiA0RUzQbDQ9Rr7dBNgCkmbSCbqUM8OesTeY3
anoA4buUCmPg0oOE6qUHUysYn4Vc7eTGKuwXK2wEa2CUtmtQ94HhZGet19U1CuejgeFXWd1+gefD
3KvkN66zi6VPKLtzYn4SFMqv9ZBy0nfHxd6mnengQVnAIEytPLeIRQGdbssOGsWjQQBblLbpKxXi
FaUHp1xqtYYS+wF9/hgbgrB+9kFzIVUR5WBvx1pSSKHpj1VWB108DadSDOHdqKq08QUtIa/9QiSt
bsYy/BpxPRv8mJKPzZzSFuTXS3vsjR5SSWGtpy6L7tWCZtObo0H8zFqw/cKYRm9u1UolXomG3ZX2
Dc10S4+HB44dMKtQ6I6VpQ0PmpHAG9bL8i6mMPsgZFddbdlc4oycTQXu6j2x2+p9afVsC+QiecHE
hsl/spO7JGytV37qao1pTIB6SfItIIdlG5OQeKfQMD00Lq4UR7Jztubc8FzUOJVByWA3TbkO5jPy
R1QV+9oSCUu/oMOmzfRTPtZq0zcs3mnSXlrjRxYzR/ClNndPbu/QtmjENYJYPl9llLlHqNPz0Vmc
9Kjb1oxHuQ+/lIs3v1K2UtNklRvXKSJ5gyeOvTA2063d9slX9J8FuwmtLEPjOq9UJej7JPaqQ2pF
bLfx/KBTZRhMmRU9MNnp1zq/7R3OSHHssR5AcaetIg4H/cnU4+SC4d7at93o3jHIZeropdEJoDj/
1nnDPV7Lz5oe7KdYFAiKt64DvqJrqBsfbiHiTZlzXvSd9ra60HwGwDyvOfcvjpz3nW2tLa091OoM
22BddLI8U2+A8b6e3H5l1BJmmHKdE6br6tovifgUSVO84noVK2x9L3Noi6DCcc3JgISJGIfW8/ul
T7e67eH8s2UB6quRrGE2eXUHRC8pGuzcWts8amKAcTUtuTdsnBpDUmPhctFhAPs59MdgsQu++GHf
anUwldLe4/Fd9qWrf3Ht3nnAEIaMOmnapaQG6rQkzafs8LvqWYvsQlFO+Uhr0L2GKuV09g+g14co
W6IHKlIk+sxA+IgwxR7Psv4UgXAnZwt4kHHUqYvIzEYhtP423LRhMZJ0MahbHDTDO4+Qds5930XP
XDHlrUgvMTYQn2XsO93Q3qMfhC9O6xjXouj1k9mP9QE/8HSapqn77ABKY25s4vhpLPlhNN0W361J
9765EAgOWQKIw4z5c0ZINXtLCsbAfUWvBpkbi9TAZM3vptc5d8XQzahPVlWuW88pr3XpwOtp0uF7
Pk6I3aml1ccIJMC2w1Bd+1BwjGct5EwCb81zCfizXw+MfyoET0ho9ljjqadUOXyya0Px4ecex8iR
ysiZGj9E7bCR9U1pXfykM/OXSnjTa+vQAxu0Xd63EJTiMFynRAcQ+KrUuyehR1NUBq7F4jKEPS3U
xFvUsAXRFpu/SbS0rSc0FLgMcrs/joV3AuNW88MjpWAPW/4Pd2eyHDmSbudX0QMIbXCMji0QI4MM
zkySGxiTA+YZDsDx9PeLrNJVd5tMZtdMWkibturKSmYyCLj/wznfye3t1BodljwYdrcLEHdKpn5o
b1udDjf5lD9U3vrb8fNfqnIUCnltXfVJnByUWl/hSvNCrxUhMWnRHxSChy2OjDpk/Y0hzPIJlQ36
tbuMiIChVARdtaVU15bdCxJ0VboDmYaMyvBrLD9VvByndN7hWGEZUAY7bleQ36SFVCHs7fyE37N9
qZf1pOKv1fEf5Gw9EcH6IVhAkvjx7hbDK7on51Bhtb/vJlMeBrP2I8es/OtyksW4KZus2jSmIHGo
YSFzrlgfb4AxroeqNMi/8kuLOkm6BDW4/fhoDEWxEY20gQK1ljoXNebM8JKL90EmsER4Plvqrovd
5L4Mlsd4qexD49T1GylNK1uIGaEXo6X5e8rj8XGt/G6vl4ZMRazv4KN0QhIf196XUmTzsHRiVeN4
MUlAdrvnTZZdNPbNvUzy+TCZInlDzYaGWCi5JYSVTOIkwPpQtPdewcAlBBWBWQLZx9F36/kFgTOX
jpST3QGxwVTnNSs9K1oMDZ7dy374Pfh/iebDxqpxpEWUManDomowror5smZFqHzrE+OZbh1Grdve
CqprkHSGG2YeHgTcAP4eRNLIkes0NmAFi0wc9F6PxnLx5PoMDZ/ZcTXorHz023bW7OFKBLzciHON
xEhCJ17vSWmKJjbZXyNDx91ij+YH77C11faMIx3N5h3cFbVd/AAM3YLP5mjX0rgxUzvOQ0wyxU2Z
dvFtT/GBSKRAI0I4+l7FEtuY7YhTlchnwjGugBk1v0kRzEBtgA5EodA8ri6eIdXCEM0g3dHUBd59
EFjme+qWwQOBMdaN5cOK4Esmn5ej8L1KmvRRzRWoCopccerxpKMZNIJnMKnjkw95B/P1mH1ysJRn
RGfL82zqLN9kGOt2Aj/qO/htvO51WhxSBB3X5ZglZ7Em3T36D4A+eWsf20SNZzTRwHYMzLpZq+Lb
lsRdXiBmL7Mns1NFwfarIh0am4C6gIOStW233cR2TlbIMLrJnxAgqBTj1pCA5nCYDLKNr64ahASA
yRryj8wh9RmnrL0+oGmHTVmO3vcsOuuSikUAOSiP9p5kCg1XzJgt6whFw6Too5vEUsdQNqwz9Lxd
LusDfJf81zBU/VuH6khsbZPFQUi0i8mOL5nzZyVcGBdSi61TAfQhQreisZG4owBGTunZ8EA0CBfu
5BT3U2jYgigwnfZ3XJP5jiQUMqe5iBOEh1K/GKKunxE/oqwqpYt5fI1pDuvxXPjLPW4mn4d/KmC2
8S0YYSvb+of/63jR7JSUlggOwQsG2KZmeivpPhhpkm0QWFKFxFZBgCZYi2cxCgampkl9xy93n2Ub
I0ReJ+tWTBUsAYOCB8yOMX2QApG/EeFV99tYsHuMCCubswc7Tcd92dkUu39FaTQEoIR9otGk4zGO
WlwVNFUgBrjUNbhMrzoUtmHaL1UcDz+TlSM4tpgc1leWU5E8RWPgzqdAZx5RxLHw9aZEwjxvqKQN
49ZEFS5PAvc5RlXXfVXVUpGtLe2HcrVhBBhZhzUPY7CEfQizjLfdbeWWPnO+Hdl0cxSsq1oQQWVB
uqvqpUX1T9KiC2Oz3YLY1Nb132keCNC3+B3zNXTnzjguJFVBEQ+G52xyocob5KvN3QWQYcjlZ20D
lEv03vPVajTVb1e0025oiTSMNDcsdvh5sq8rv1p/WbUz/KTMgW7M1TW++Na7NxXPA5i9GLMlVyHH
wD/nhLgy0eeh8WQbSnjmu8mdzGumYQnn+VSV8waTRLbp4qa9zbDKnUkdyd9pLWkX/bmTv3OSrZiu
c3D/6tAlFltpz6d8TGVDErlRwyycvfaNrLZmU7ZO/MpKifdqKjMavax5rCcIHfEFkLQDZ/C7tBhA
XfJInNFhecI8c38JJSnQI/FhMwLDX2EkD5n2y6dFLePONtvkRISmuCW8zWDwgZMBVMJUDztdr+NR
V521bY2sH7cQCPpf7PWnQ8719ZLgrx454VOPFKpZDFf9mhcfDeXSdp6b8cCrmpw6qcQdqUMG8jEU
9pI1P4SCaFxG7HzLomN8L37KLblM600uBI0B3fBvy+3kkelqcrKm5XsQ03c/GM8mLcBFaS+O9kWD
Kxvb2TkzR2jj1uqlb5PkSgZtcE2gW/Y9kTiCyq3JNGHaMGLrisIaBIrlK9b24hKyQsjWurTG94DC
AeKdb/8MljsPn5c/AiMtRsrgYUmd1N161kTw4TpltPYe60xAq7aGyiYAUpI+7YWNjmnB1xcwSIB1
i3X+nRmYYaNJwrRfYh/02ejejJzBkA/XeJONRAiEQWGr04Qs/NjD3ITpq99MvgqWJVhHGxqTYu+N
GvMUR8QCs3Z9l4o5XLIPKufN7+V8a3a+/Qq6n++caxhfYD0e2XE1W6ZL9gu3E4rutAOFEGv3bCBl
wPSdo28sCzA0pMikddWdAq8ncHPs2i9dLozbKmXs45Ze11iIm7a7eYzxIKHAQxTPe2AI9zhQ0mIE
47JCyLlwJY+Ftey9fjX2QE4hR/Ue8e+JstrzYBn1DpeZf2x8K0HRnCbisZW998ko46JvzCWUFSOH
hiGGhyru0ztyPYBHGriIfE/ZN3GsojHnOdSeJnQeIow+8BMfcT1ZDktXif9NpcGpmYLX2bD9l3T1
vKtC921UyFUwmq2WjcvdewXK1b6Rk/I2knLldRJefqrcqoooDtqttUzQV4gkCp0gmG+WWRYOswRD
b5Gvsa2r6a/ufU1X7EzzdOr9IPtM+pULGDJyZLus0YosqZ8rEqefkkStDyB1/Bf29Q0tEQlUxGwq
vA4yMZuoxHeOF6geLwKRrGQGW1qPoyau1tIYv2mB2qNYyVVpbVtG/dznyE+KqY5Qso7AJZcq2wN4
GvZc07kZZr45Y79yMVgHqZNQbmlCELMAAaYHWi/YBUSogiFcs/HIFlrixhy6ttoNma8eoBOYB6An
pGmR5tQhKV6sDLOGOxv3Wanzc9c08ZXE47tPG+hh8+x614tTd4dLmBtuXAKzQG3QAw0XDGOct4Rb
N3cDHotnsQBm6q33rPE+AlQzodt4pOdR8XVbL12rAR+kF8HwuPFU7BLfmpoPbePaEcJ3eVXpubzJ
huKpTgOi/hB//nTCEo9+7ziwtpv4mFGCEOc+PYJcI5s09uaHuZrNg8JeeF64SYGO1xfFkHqIjTV5
9Naq2g9j7+2siikzA137Zq4dtXe9dtypAQs9y5A3KD3myUxKAhbjiiSX3t8rh8eIhNGfkW7lS4M2
AOCwRJdQk2jBZhZObL4KrFZHyIgYYPu62PspeUUlgSsNT7idwOda06dRqd3KPtYm4YeIb8famnr4
dNBFnpJ5tm+lGnsMK6D/2tDgJK2ZP+0dZN1gr0yjQ0sLNcZybzuwWWFHJt4U9S4MnVz7yKJHVsst
2qXyRAw9yBdjG+Q11ghDvVWB+4WRJdkrA+a3rjH6Y+337pXZR83gXVvreDBa+rtmBDDXd+kts9+G
3UG1x5173xiu+TttAd/BxgHuOKOgDfCenBiAPReBw1jB9CMWD5GVZQz7JtUe7T7D9Irma+yX8ssG
0xYVdv++rsk1YjqRhEnWoCzDG4SNpZUW14EBQRXKgLu62dHHCAL4JSCbIhxrNlmUHv7JNbD99SsN
soeoNWxs4OZSVKSYXtoJFxTvew3041RNhbOxG4+mXS27hDN3Y/oJRBM0cL8bgBuPXpfU8HJSC43v
TEjfztH5iFJWtw6zlgZznZEV2Dwr4b71ExjVDzSsMLuIPfToewPxZOPvodeamLYVGtcm7y0ZjJ23
XSW49R0LCkYZfabvY8OJH2ECIVRXQRPsfWkdcRIAWuusq861MhaY0zzrA+Sh7CP2Y25FP+eR6jPR
5E9GtuasHIWdBh8JBjICf1zbB7qTGvHJy+hPogSG0vwWBHlxHyS+a4Pfk3kZacV+hAUt9mr3Yhwt
liWaOxismsz5UCXchx65l5fzNPC6ECLgQz5PxSPB7Jy2nBvwIvKVmSYWfMTqXub5b21dqg/dWO7X
n3Su3gkU0vCAunmgr4ssomx2RDNbWIe1GA+5y3VfmvyoaQYnusUYwOG9NPpXBsX9FscoeK1l9K98
z2WGb/h47kaX06o8Q4xc6H+7WzvHPFW1H4BzcbB5863L/Z404L6NBNzKaDw6Ytb4rfBY37sUJDc8
celb3OUdHXEXzkNiAjQTX71L7lGirfZQTl3Gdgn4fpUHe5jB7yBCH9xuecXPsIyQDygzoLl0xwXj
YSIBoAMShBBgI/L2YNRGVcawkUiki8hGqAfu7pobsmBKlhO5jXn14pYfMZUmYblO1fc6garsHZIz
KXuOdZ0S7unjfJMICVGZeGyl2mCYHwPSuZ8TBcRoyWyG1OA5zzkCBrMsbi6Aga1YfHKGZcqQYmji
+JV+AcwDqjRQnHggj1Njj++ZyAfgAED6T+s4oPGf3CKn8AXlCzmGS7dSCUcecFfmBTpPgoM2hcL5
RZvH+VM1Z7Os3cduDgSFFvPTzDRYjrj525AYYq8nTlxmq8tN1rj9xoqX9VX7dG1VxCqLyYbHw3Lr
9dXrPAv7HuxJnOyG0dbvYEyLg6I6vnGgC77qbhUMv1jrURKtbtTkOjBvFqwb8Oh9Pgb0YEa+r4Yk
vrUZDX3Sm9KFEG96zqakZlDB58cnaaS+2MauKJ9p4VCT9v0eFFU0VxCeHFCprCmm4rkau0OvWlDj
1fwyDqhDCYV8ZoG8b8m3OJTskrZq7Qci8jQuXTyKzLhzA+04K0XOlex5bHxcobKlM4EexfjKM/uf
es3OOOMxwWeaPN5+U89ls/WKmSubQX60Ioc/4ZoHDwiPbUBpg7XYaomq1hXIwgY1jLdx3Oy3pSy3
RdTYzgdCzfpXsw6YrXpOdwS41X2BWDHRQVk8IHPWQ80ic3N6LF1hLVEnxuKAE5qu4ZJuRyYGvA24
bv1eMawLIgKK4Q7MPjFwtQcSuivOow+xfSBq9orNCSsHuLyHpQ8AFPWmQuSO4W59WJesPiA8m0nS
TKV1kIVJ6DGRPqwTcO28kjObfa6ih9KMuObRa/FiUBe2cCZWhyPM9ae7sWBtNuFn3HJuGKcys4jc
k13jHHsLew6ReXNxnqljriZiLsnxHlqHbVq6YAX8K4BvNC2Sm0Y+8siw1EsxAOuScpXbjEyJ/SxF
TlkHVM8HG4G5wt27AxUUCMLRuqGDa8K0Z6s4bbpuva/bryHPjG/SNY2o95VxXVwqXkw42QN6veZs
wyPC71Pmd/m6egdeJfvuYuF9cVLL38rAcHEzrTX9njuGsCasyC1I+3ByZL/s8oprdE4OZdlE7Rx3
84kTd8EwD59TcUrvPRtDL1j+y2asi8WvknHDVcwWaNMWQbqpM9t7UGuQ3YBzdD9xlsGDZKp3cTnl
i71R4FjCdDZySP+wSJgh2RsTAHrYYvF67bPUfRQ8n/dpK3iUEjKfZ6KtH1ykWmHDHiri5hmwZ40u
A6rJOZqdSXRDTXzCRhZu9ZhhYdkjBh9/dTFnXWPaLPTnGmVbqM2c75gYTYzlZS3YLCX+iP+yST8d
dLRv+MayW20N3YZ1ohFZCBXB3dluJP0A9KeZgHsvyiYir0OfIBBw5STNxE9nbjr5YczGG8ih72Ty
7Rs3sO94oJjWM02KqnLM71JDVIpIhv7SOWAwWs7Byup639L1qn3D4ZlGaT9MBx7rjvLRZmQ6VzIF
RZAlz35nDvpyEU3mBvsscdMGnyySgTW4rieBBdOv+k8LloLNzD327fGWqD19hByB/6gw8LaPc458
JoXPcw9OqH3k6cp+FXUrXqHXlBvPJ4o9MdxkR+77euvVTRnhO6K/jPXE2rkU5iuqy/G5AM++cWQF
0yBfBRjz3uoiZGPJdwDmZtPGhEYTA6kfsS+31zVouh23Rbn1/H64Ih6upR81J4v1i/jTJatosevu
ZMD83FhJWV65OoGoeCHGXu4QO1pLqXeDM61nBi0EPGAG/CiSxHuxQRhc1TRJh8FIB+awfrqHkpbt
oNxtS2tRX0bQWce/Aid9a/bKiKzva/BLyx1PZElJ7fRvjTfln3ZQMktPk/XR961pDjX9TrvRrI9R
MGyYGofoG/lfyCXTk07iAC+RX8NSM6dxeBRLNZydouncsylrQmS0wLnmGrPauvRaB2gJbNDXwrzT
NvYxeohKwL9Ly23rjWhURMtUD177E4gE65y2DYWI8BnalBjHbIKNyIAfWGLKtXxO+woJCah6tqDN
jdEYz35tfNtIO5+q1ugeGuXEO6NZsktVewHlZtmLSazkLeRI/wli6/Rg6InE4fx+ZtS6s5xcvRaw
4e9cYS+vGKbHbY4Q5WQ3pC0oP1avHCuvXlHaN9q41AdzVZztwrFOdTmY+xIAwB0pnkUUu1PxNU3x
sOtmy4z6aspoVUxOBwRWB3rDLIm61oKQhvzDPZb+0O2nXq5vVdIB6hshin/CoqIeG1rTCEvq5FOe
uYS2Oh5zWUIRN4MHMzCB8RV1zkUaUSvJ0UT2e9XCE6Us3Pe2r65aDPjg24R4dQPibBloTnEF2aoS
9wxbsxPBFPaOmW3OV/WXXdOaxTEhvuGu9bthW+GJhY9ay5MSjDTy+mdmXuMt3BllrJY9ZTTYLW07
5IHkqUlueV4fOjC2TFiSN5mmX6iUviXTVmIC/F0Wix2UxizqBi/ft13zTbgGjlUPZ3fWl+EFL9EW
2tmk1XSd9Mn17DcwiTh2ltXfLHBNiUHQJnvjdMsrGynhkBTii2M5tY96EAcUQ5EPROqgc+jm7gyN
1WUrRLrpwiJLKsY91QBLwjIOKyyr0nYOKtfXTsf0WxMZ9cCoyzkM0Dx2zpigR27XjGZSqfzdb3VP
mEqS30g/Kx4t9l9Pbk3H2KwZo/CqEfv/vjYQb3tW9wT2jMkHkQfODS2wuVtlUpC7kw3PfxRz/6cd
I/8v2cM8Xud/kg1eYtb+JQXt9NHX/Lvi3+zff37X304Q+Q8XHrk0A+8/LWD/af82A8cF0CFME33h
xWX+txNE4ACjqcSRLflSqNb5pb+dIEL8w/WtS2gZgWr8gyf/K06Qf9fAEnwm0Rp6NhJHDy/65df/
SU/pDa7R+pzoWzTKJJfrWy8ufoSkCMGsZcTj/dQUPx24wPCfPqX/hVMDBtm/ySs9TzJWcZkDsV7k
e/k3b0GSuvbqraXCch7032QjmaFyHNBRszuJ5GiROJNT7OCoCsFdrA/L0C4lr1a6skca2h8H3tiC
/JSEFqoMKV8bqRsCTxyr4UDRTrVJEpf5LNezvIMZClFD8S7ubDdGFgVmar96k39lJCORV0NAX1Rr
7tSSIitcvP52Thg84Zf/zE3WVMy3djmOk4iOAGlNV4M+B5MxJuCMDRT3Y7rQJy59/mDDO5nCZZns
M8IncVdiaDj7A/GkzMBybg2ZPyUEEjE508uwx9pW3Wu32eJcvc7tfLgpWj4KYqEEmKbFBMMBW4vf
PGtOcnZk0ycobud59AfU9YMSyW2Gd/7arQk/EZmOQ4u4AEqoi78ZKWkOjjNPXjJECA+eOy3EAKXt
hkzdvWDXe4/p1NkQZJK+jmZiJxG8fWMH7tJuInsy5O1sDONPvFjBQm1OkGKU5GPwBQRtYHY6Aw1N
+sB8XhBx8o+kw3gbANPpw9CQ/UMko2Z7WVoon8IKo8temjI9WbZJ7cpi6dpy6LttA/jqklWkTGUr
m1mr0O5dh3sfx9xgXmfDgnqoXeq7JQEHDpUKlAAzNi5hVJZ1ELbo3PaNo5ZrYObjjtkFaEFqOWhu
43oC4dw+dwQiKW64wYAiaLvNi0WuycYiR4uNSTEDzGRfHTR3iWWTLpc6BQ1cqdUYbyb4QZEztAF+
f+7vg2eaWRshX1lfqtJCN0LwFGpoWhYxLgxtpb7lv5s7Jlm1+HYN3zW3CasPpNdjcJd6M7M7czIS
wP+sdyMXaeVRDYAXYYg1OZ6oyWyKcMA2hpbVZ1nVJK374moGONs1B/a88aB5hNwhEuFzPzB4b7gK
jnE1ED+RwMW7USod37va4kHCdf/KYDj9jke//eSTyR4GyKK3fuECRe50yb48c1T6yg2e4U9RWQII
prad0DPFdIfcgj9ltVKBPojkbCBgvvOO6mO48tbcW6LYmdCJZxCGkOvZAiL1Ja+HclE/Ws1K3JKQ
YP9nYY0rCogOGQsR5csnik2wm3kyt/dTLIJ3oM3prz7j09s6sm9QdJQFwsqAQnIa0X75Sollq2Bh
fVTNODzPSVBaocWQ96PLyAIKW2xUGyF6XKk422EYdKIT38aQicd0bKsX9nfxvbfY/mutSgsNG7mD
xsaabWQ8Mebu0BFT0W7B4FePjdc5WwK6EP8DdWqxKuVeMWwGW1XAW1I55nzuJdpjb/EtnKiQwbep
ie9FpBNTWwpVgb2N4TdZ3NO0T4u0f2CW1y2s+MzytMJgE5fdDqcIpFPaAkYWxq1uNWMVUcjiJdcG
3nTTZAQfebXffJpmX5sbfIbVYe0MClLkbL7mJLT8oyJ+mQQTddGUtGTP3BlVmd5Zo09uQB+4aK5X
Uh7uMyQfL/xIWfED7mWGIltvGzte/5ggvoE/4MwIQt3qvhSoidZ2gHHXekv3ag9I5jnMTA361PHe
Ocz5ibJ6hiuEUQ1NF/2GgVp3SvKCIPqWtHODbf2K5HuGfTcu/E0NtpzwzzSrQJkHRiSmmmNhimO3
2RTGOp3nEXtvCX+bUSK77EtAWcAszbQC6y0bh4lUJ+W6TKCFQZwFE7n8Jg8QqhiubJ8lBl18tPHk
y23M2P11ZmL71SUrW4UqvbRJGS4/BjoWdikk2OnqMnfrdXIUMau70Afuf6YXMtO7xkTftaWmta8a
QMvpfijtMbjShoIIodn2tzdAUTNmKl1ufMzw/OKIlqMftrVVx7uhZg7GUNBnmwOyiqVGuya4ZKBM
OREPDplXHcMBRCIkFRRIINERsMUlaN3T7sB/Ii7kjqVHUYRiCSzXKNerIL+w2iwZ3/Ak9e8+irIb
mHj+Cw1rdTUxjz6tFH8G95x3SWHU3KBFrfSvCrqMQpCWzWccQbLeVgUnNaQ/6Be6SLsuxODlf8GB
8B6XS9x9hkmdiSslN9ov5fc/Wk3pPeELEDMzNNzbCT/0WVazQBPDgsBGLvmrbpKLSE42RCf5XDuJ
VyZA2er1VFk140BfDSdUl4gG+Zt/IPM7qzkliNA3iQxdhWf9BnVYnp1YDfNW0R3Qg9iZjwSzdX3z
ECfanC8BB/GHmWiGTMobC33deCCSQF5N6S/kxyY/aFmS/C6XBapTC9cbH02qX+3V9p44ftu7hQHF
HpeYfiNqTlx7VkLWkywtrO2KaIYQzoTvhYnpQf2acp/oOEsJIBcDnHFeQ8Ps32fljnfoEadzvMTW
nekPyPD0bEQyzlb4z8r+pHOIWUuwRd8tTbm3GNu1cKjYUIQ9erevldFiG7nd4LsROUsuKoHBs+4z
p1M42YU6KjD55XXHbOLNVWn6sxYxiYci7ZjpCBasfHB5ugJ6HHEuEk61OKjzmiSWrxpJyQe3S3ZP
c5UuHFvIrxaU1D2B6M3YIjgOu6Hwb82YKz+iZydLpwS0mUeGTcbO0Ct3s9jlwEtA27MMBplSRMef
m6n5hTKE+VGP0yPNRRNl1aDTHYUBEC41Gj5Iz9Tx6NltkP2dBioeVbGT79p0QYdZ8UmIKtYwblsD
L39lyc/OGu1TnXrSDRk6A0WPG4Jv0Ht418oRb5jmu+disZ3fsrCCEtsNj9k2sAZ0psKiSGDp6Y8/
IM+QsXTKn9TWyVz5YNpeEu/UZBOTKtESDJt0UTlvp60AxbEHQxopp0qh+JQ5WGmJAKo5gQZ2fs1A
Z3GaIMGhECodLn1mX4e+NEmGZB7IdckFL376go0m53SZvGZ9zerDUM5yS8wuybqmribg0hheQ/QH
AofGUumrrMuM33HWqws7H0wqyxBpgvgoxne7Q5EZQnc03hMA/15kDzpHiGdzCgRWBYdJIEt6rGWL
BjCZWmoTR6zz81zgZI1A1aMb1zGLg5BHgDE/aF6d3GjbtB/MulzlDhTfXIbZWnZQlRjlHEfP8r/w
+bBddNg4BUW56bs2iOxReDu0temvebEuGj54jiFkIxEWaMzCySRWkVm8BE5NxisTE2F8apG0byYQ
xNEFAecAjMmDVYbJKEloJc34YjPCtbC2/GFtYt2qXLKa8y7ER/Sz+Ij0psqW+pAELjEYOpfOfd4a
xnauagKHhr6EBhw7XLlTfKeJXMKXxKx0J/vqM1gt8Ysn0f4hsCPf9lMGU7pv/ODOV31/nafLjHMi
L/2HVeis2ZpjkD4aWlQ3lpr5/HgpXmCtclyVNqaZvQSt/yt2QDkM5FOj4l/dRW+Ulwzk0+lW/TDX
U59OyoQ7bOSQVlFDLA7eVrqbH1ui4SXMCX2u04KtCJvBchgO2+TWWgYJXonFU8gWd67TjVB6/skM
dkDt2lUAmjhUwraOW7VhKMjaj5A39oYxtCbroBwbnhGARH3l8CBS9JbVRB/ATWsWKWYH12FqxTVW
d+W5opqvNgWkbPPo9mUPqM/LHtuiMx4avbIm9pEboNhcJQs+/HOzJeeoCXKszG6nZjMsaw+ZZBlD
p1xAJc88xF7w1JAVamMk01SCXJSX6IV+Kp0NxNySyQVLW7SSbUeFZMC7eZ59p0FjVlXwws0C33jR
koSxLqQIjEMdDCy2hvKXJg1hQCar0u8CqFUadn5MVVQbFSWi8EDwhMlsNS+mssuneTDll4VK8TBr
vbRHLF/1a01nTAK03ecfOStFc0cb697OUPdEaBt1GYToQgRUp4nyMCAfHrFxDYttA3jP4XBwWG1w
DTfdPZKXfIqIyENH0GMI2XjAUJJocHrzDmZ7B8lf9qD/dO+YT37d2yx1y+96hZ4QFmxcGE4KIqHD
qTLy5OB6ibjy+tk9N+NECZmOcyCvskqaV8Qc8MDFvPnHMSdlZWA6xmancFCQEzm3hNPS5vsMZsQR
yhDyVqPJv5j9mj2T40yc6JLdeyShJyFXM5w7QJyWtZ6XtECSShoDzGlv29gzgx0HmmrDbsoSCWGF
FoG7vAC3GTQB9C5jiyoYFX3jU370zTSAgfTHAnc5ZBXEHPkGg5QCADmbeHj6bF93or5HTFTdVbrH
uyaoGtFa6z7mj9FOed3UItsaLG3IAwG7QtaKdwsuZ9gxqT5gyhCg3udtMhQzES69+WLWlUXqNnRm
RD3DrxpFXDRmlvcweVJugzbXO7debskyXOaN5SoPDfISHNlfkyU4oxqdOKECcxPEXXYSUEXZP0BT
35p9WZ9RuQVX64T6KWriAAUlh/e3HPx9h0LuBxV4AeWdieA41cEbqZXyymd79mp1XkJYHu0ZWc40
ZyWQ8tFRbAvbLEauxVcsjLvVs0mbWGySUriSh/ap6kfzYHUxUr050KzuK5LnCEZQ4RQY7cH30umZ
0WXxHgOIn1lVaONnUn49vNsFbRAFQAYiq46lue77HJEyJ6m1bMY/wK5MteWXIaB4aUwmGUFSF7hX
/gf0Jf5Avwg9AxmZy+AeYAhQMHHhgyl3nuhxzAs2TLHoj2kzLzix4nJnIhsFMmb/AY7JmbzADTXS
cNX+OXZG/mpv4x9QGc5KoGXLH4DZ9Adm5la0Cdj8bXTaVjOwfmx9hfTAvnDQRuR636S1AEdzrKDQ
GznI4Bj8wadhIxuSCHkwRfRsl963vLDWsgt1bZiH+QxGYkV18AfLpi6Etr66wNpg7GeImCG4jReW
m/MH65ZIkyMxliglErR8WCrbgf1TVvna3WcMsom4JcLaCr3JMq9V37KRH0kHRJSS9nrXGAtpCnqV
4/7/yuTz/z98VuDJ/+189ObjK9Uf/+2u//j6HtJ/gWj99Vv/GpJK6x/SlY7nC9MyISFKTM//c0gq
bHAu4BLAZ11M+n/PSC3YWvwGEqwdIAjCD/iL/A9ajviHCXIGsCUSS3zvwX9pRiqsy5f6Fy+4hxPS
oxthUuo7pu1ePNv/NCbNBLz7tViH3VKq1NmYPc0hpov0Fuyb+ZK6o/glu0QixFj98jqjLxBXsmYn
Jucsf8SSl8EkJngJ+JZ2cEQVwdNaj0FLTG9iedccGCp9SRjxa9jnjXwhaI8JR2tZm4UMKAZC5UNH
NfDsu42LE19Nt+SsvlClIbZu6/kpA/FFVkBdfynXt297swJH7bSSQc2a4hOv1B0s5nLgKnGXJsJ9
U2HqTo2VtlgjwXP1gFhkpG2DQDSzIlJS3we4CKGIZJBkr6y+Iz0bhP/DFAyNTczcWj22pmT3jTFu
eqxEU3HuOjPzmoACmoGWY6XTkb0hamt7itsvw5BKh7qrmQzaFZf8tVrqILiaYgu4iebg6++1Ltov
p3eajFBGNmKI4pPgC23w8psol4aVCrkU1Xb04S3iIjE81FABjb7hFVZ160q/vuix3elnvAjkuByr
7r2klXtqPItgoj6W95bDUTHn+TFluGtctUb6H+ydyY7kSJZlf6V+gAHOFAKFWuispmrzbBvCBnfO
o4hw+vo+1PSujk50d3VtalWbBCI9zMPdjEp5ct+95zbmvi6E/zV1qdsfHZ/VyqqNuhaDTeLTXpSM
DeWFFAXvrAxS9RoA49JJM5lPWN/Td1248Y8mr/w9mjK4KUlwB1spcHZEyRC7a69sBjL5ttpXjOmC
Qr6u3PNdITylPOhL1NZgbWjThv7BPh/WMZHKs1MgEXzMPBwPWUa4ANNoZV4ZHbzGGhz9Ws2IYKsm
grcGQI4dVqPLblVQD7Rh0vcZKYh67DOMGVdg9eOzW+XfeOcpearaPKZ+qEZKTePsUUgVc82lTMAs
+Htz0/bXmTFbyTp2x/oTq1QEeVU7v+OiFK9ux02b2LDMnY+k4cqMagfwRo9f1H6ZSFy9cchGNoMh
M8EeWJtKNopMx4lWlIfGyVJkZGpTPW8iIE1O6b3ripSKolSyF57mZN+qQHAA2IijGBOLNxIkWq8M
22NrRpPcGK8Dl04KpHziJusiK0bmWTK7zZWsHAMH3IzSNhWxPA/0F26oen8QkGnoNrfcdu9mCmut
Ez4Vrtu/dy7+I7Nh0AFfLjx6QWCig6iqI+EcTIx/nx4CUvKqkVDTdTomWHS4tGKNHSGPDkczUKh4
g55x09almVZHyxaYXJuwT97kkI6YwKxY1bsa8WM8t1NshJskH1qK7YTtJDs399nQg5+1biWWvADN
rfPfHdoVjJEYSWBE+6jU7qvLRtO48VyZdLvUo0JqNy6rFUBzksKZ3OfGuBumkVVkhoU2X9lmRXZs
RWKgGiEYYHe6jnrm3LXVZiZOjJB/6yERQ94z+kXW8Kp4usTKDOj92UWxQVAgHRgg1tW0xNmxZ3II
J6l6MjOa6lhkxe1jLusJmwxugOzX0NNz2Bc17mrHawiFTwBEXrCMsA526ywnYKjCDr5w1DVsVFvD
3MQUbkkepJlRSeLaKzDVWlG/KefiN8j2dl36zkDTWdbk8siTyQ2KeseATFjn3nPhq24qeBE/vjFW
9gHCCq3C2vW6L+wCHRVoCSolY9vYs0EKqfsJR5sqetd6bt2S6dnMLXdX5C4DuwlYYJ2IJoC4yV19
PUPssDeRV2YItMmc4MSB6omHIdNtjaUVF5OVNpHBLzqIrsWYVxTuVd3w3veVAKDgVa81vR4oad4w
oXbZ+RW3BvYnDCPjlvdQbGxG8gEH31LDdR+24V1kIF9B4U9YWlCFdI+bcFq7SWU/ED4kwTawxmE1
Q3fzMUKUoRqlwGxrtVN6Umog80029smqbOe1REndWR13z7kKfe5KA3epkiOy3I6GaX6NcV+wcbHH
jPZAKmW25LX03px0eG5qaj4qRAUkirrUrEGqhpx6rT+R2MYPFkjuiyQMfPR1D36266MHTstU7Fsr
kE+1lY1fLXPrD0ug4WnoymHXe9UjJs4OkDy5GblN+voxQy/JqHtNmqu25XK4R6WMD1bZOpsSoXff
V1WWrj1XEYPAYw64WBT93K1wgb/HAYDHjUZmPeU+ePWQVQtxrdpdg08wD5lS4DyCkiVPDe16QD/W
zrboC4EFragPJTGhbdexgvNk67AkJHyY7SYwHbxcY8bXGqq+jjIHs3EVW815Kh28v7Kb6+e2GAqq
mUa69bDUNrCfXN2f8jyJAWwFwoXLaBLjJprq3vd6cq6zNg+pWMpthCNffHM0d+eZkM971iPkr4YR
aHwz5vGpxGTMn2XiReU5FGSVFKzXXD368JY/i/ooh9B8yS3JZRKEyfxgU5N1TL2pUZvIp8oiyH75
wqakPJiz7RCVqbrhp1e9myQ2N6OnjH3WKW9f4ybZkEj4YZM03yUoNTdMLuRAwqpEPGQP14ZGin+0
po23sjR5srCm4ZRUjLOxzNS/N5sFMFzqcLq3tDE3j5UsjCvbrbsP26p4wGJXzwgYNY0bm4GL5YBA
CyITyJvLiqeBNlSEvnP0kip/q4c4jm8nVyEimJlbfZHdU9+Rs3gqQHQC05a0diMLcUnMdlhog8fQ
ndDiyBUHV41gC7tifcD/TolnYOeI8WCvTPr2eu60abX27JZfzCPl3buZXWO+kLyZ+eFaL+z+KrVV
iOs1OV8Q4g2DGfc8b0z30zyo314d4lLMe/7ZdBL928MgeCwGrzkPkIcW/3Zzn9c1NcEymFrsnHRs
PBdVW+2TtpRU/BGONv3Iv6KEiN8I3HGBWlVAIgx9yWHDLbonvQGBH+J4wi8u1tzw0GWlRDSdnPmz
DfG3by/RbRr3om8lRzq+pOwrnGDChSVnj8tN1jK8DtpABg3b5ssrOD0NhRllIKvblkTGA4Mp1AAK
rDGXpvQvbjBXsf/g94TXEWb1R5hTP7f2nGrYcdejUDHKe3zxXtss4Vw/xnuPAYKVrHdyoyj6dEBB
bbHCLjlHUHWnuG4tj9QSqkbAH2kb885ceuDM+lWJuP2ezZqAnlMH3g0Owt5YhbDlH5J6GpcdRwV+
SvNn6zowLbVI+3Q9NKk8Vu0cO1vbjes73vrTpiMYMx8YduqGzVgUP8NaW9478KpcaeMB9MsQ22AX
MTRtpjrDLuyMU/sh0oyjRhghlSAEXCGc6FF/KlV72yDJZL0uQf7cOqnduQTOSnqz2J+YJlp7MF4r
gsmUTnA1f45nFT5hmstpXuU3uyGQYFKGM1IQOQaj+2aGXp885qMO71qX7eKWF4xgS25wfCzLM3ZD
nMx3FbyGq4ReBsI1pRIHB+6FwnOVoJbGfM8OZhqCRFDKxWJqdcE9Bn2M66Ia7EefU2fT+LEmiqTS
R2eyxd0wxcxtCQuF+4JVf78zw9mTjCSGSbMQAtS06miMfOx9IF+E9nyGPJFPt57T5t8Q052HFgwN
J5FTx6x/WcRvvZ6IIm88mFKFJNAyiewXqg4RiDLxnqGh19ZOmob/YOrB/6hndiXrMHHStd8uXZ7D
xL4sIUv9ngf9fFeanfFVizJ7NLEdpydbqvJU9VPwG0px2pxnzHPRapZe+eO4o3rB/zcdihnsb4BO
lm7cIDGztRn0WbXzucBPm7TiLXRo29I/TCzhnv14KvptIRu5N5WnTmXShetgSk2WwF5DawpRGmCL
Nu5FM6faCON0P73OgqoD8ic0uQVslQIcXik1wgB4zooeeJwvcdpthypOT2MszSMG0bfRJH0exXW6
mWlh4g9itx9RTeyKo6m5GhOA4BC2ePO4sUt3ZYClZrJpWUsnMkEmLy+EyeTFzi2xcjvUR55CgO4y
/F2DXJK+0x1HOATbVqhi5xrJuBdDUu8jHB2/Ira+t/haeP/RVkox7Mjt0FDuvi5VgoeWRuYNSTP/
BrBWfTcuTT1t1sidNRnVAYJOfmrjQH9TSNTcBwYF7IDtGY2QMOsndJV456N8HYYijD8YZySycPKQ
VryapeYPSr0zshsA9lXQ19Gp8egFb8AgECHU8sxmhZPawIg6pPQvRb46AhighYaTON/21aB+8hZg
+zYbCnEkYS8+yN1ZeAdbX10NPCBgQaaOaBDlvW6dQ1yVef85i/Znbggf00oeLccpt7EmqaKjP3Ud
G1l7Jl8cxzvK1bnVpiw9rsOUzE5CSIWcF3WZXYyylkajf6/A3Yl1O47dyW9zdTabhMoDiFKYu73O
vPVmDwOhkflnp46eeOzvfTc+9aN+cebBZeeXi5Xwipm9D6tRaQ3hih/nUtQZU8JHUi25TgxFNJMO
cCgXzshWkkrfNbdPsBph1T77pho/0yYf7/zZpoTO9FV2Pc1+cPDtwT3WtL05e3OUNFKbqGGALszb
vJHdbY7oto+kOmjL6ZgAdUVzc+HoD6bOiOYuz3uTU91/NbO8LpOiPckiKzetZRYwN8CBfrHCM79i
xg1AHWO9m2CIXjPozaeejdtSfaAfy4T/NmwGD1eQrXdtEcM7cjvDO5Zzad/UfjA8kSihC1fmio1O
Yah3FE/vSll2v61Kjbo2ObBjgEnsijAYaYKMhscoJpdiCmXuBldwuvm+u3MMy38VVbtAVcnWLj3Q
/QzrbBa0JY1Buy37tiCcRa/1tjVaaC11rivsNXagOMIBY5CRoTRopQwa+lgz0H+dGLr/HdCNEzwF
8Yjx17KripuJgnyhOE1+OtsYnHVOYvOQzWn1McYd8oR2bLwrZECa+K7MGvMlSvua8Tsv79A47Q+b
TuNbwuoWpn6jZhHmFqTBGn4OR83tZueD/KI1kxjDC9RxGn8M0dgsXBpZVQcQP2LbxGjtW1G081uf
NN4xQAE6jlouBd0Yq+/YItr+YRFIPmPPIFOak85dubSCsVsHd0m7E62Bj5YkgaSG3l1zvjSPSRGo
T5uow8qQVnmwvfSjy+rk5EipoF9okO3mgM7Cva7ApBLV3lMbTIoej9mxr+NxsiRabAcwwJb2TCU2
UX1j5wBRJ3m97N5eqJCzzX3DqemwwyuWkRHr69DsUhKjfCNUSMNyJLF8rTLi578bc9Q3YnajV3Ok
BGqVTE7EvksF2VuKj/YKBaei8CBrWdLZePiujCBzyqchUvMjdRC9fy7HREl610bApXMyldt0MIgV
o0rslRO8h2VbhtuW69veQZwjLzCnRFMdy5uvuXR2H2HFibUbBpTtPAYYxtXMeGoEMXbDn+WaEdIh
jFb3H3zk0u6GV77vnlpdZrfwa93vItPiFWWGpSTnEZN04+2rvGhuvLBpv90uJqiWUhByHltt7aww
KX4I0RnEs6GVkoBJOnxg1syybpWHoNaY+BAMENntTq39ZvCsDe6m4TrLHblcC3WMHlGwjV8JDDPs
0mSlh1XTxAMQV8le5kQCwysxZIx83CXwePIfJlTDg+Qmlu0Qu0WxJ79gbrrcU4T6uka/gXBaRmVZ
Q3FIYQo85ciBHhbCQt9WXF/4f8uOlzvkq9hfcU7nPhnB0v2MDQnqUdM5ts7ZoDHhcERNARu11ZKG
uBrCZinHsJpXzPHijTwaHThs7Yy7WhTOxKqMzel6YHm9gw/LCJsS8TwyiUMuoOq4WMP0o6MQuLHZ
rptMNSyYExF/uO3U7Ctf+zcsTKihtatS0E+K9WTjpcL79tE/jA1VV/nJd4scXiMzz1smDbJHlq9p
hGl9564EtU53KQsDnmCneKjIHB2GyGHlnXTcPdZ2GFNGizmsOlvZshCTbcmHpMQoTwqkrLt2H9ml
0bOcUFHZHLOwi/RWl1a2z/sACFFURON77y8Gd9ag8oXWZoxePr4R/tbB4hixcwWzGfwMAlqPQ+AT
wrT1JALB2tNVwmdOyGPn5MueDWDs9dmnTQEQukVKRcCOUIVprMsek+1VGOj5Nav0kscpM19AwRgD
z1q55ojjAC/Uvqxs/wpBJEh3lXAqXJxm8YNL0b5my4ndlXJoljLYAaHDpTpWL23oZa/tYMKP1FOE
8W6YBV6D3AgwH+D+o4l54FEhGhHNFKN2gjZL2iHCpzLtuM2PNq+fybeyr2ga6CXSNtjmM+8JAuas
WKmSAwVdWjR9k07exyLsndNQ9nreAHwMvjtPd8+FbydcxlJy8avcRtJbpSog5Jj4aI/cBYx8m5MK
xstIz178OQYEcke7QytNw0zcZHCSiGHw/uSFncW0A5e8/2d6CUGXbbxKsT4iNoRg49PgZ+LB72lO
LIsRHArb83efwr/NHLT6nU9SZ587k/BzTHBDnxvTxhQ3GAG1DYYj458IA1yyG22dMexFFb4xjiXe
K2M1UjSdOb17RdfCbK9MqiNAr3BMuqRGwmHv+lgIDXsJhfWNOZ2nyqATiVukQZFgN0IkJHJWLKyu
dL5nZZg3e9yR0FViqtk2LaB6ve1TN7oeRiMa1p3K5m1rZtifBppfeKGaoYIdwLuzX+GwI0kymPo8
DR5hRaPllAEYCH1unXYmYpIMoINTxxqKGzkrpvuCk40rGC68TZRleEsEvDOf5EpMSZc5xIhFU80f
ODZGGV3DSPSiXVFaIGYM8dCJwEJ5pM9j5RIfHwmGUebBx7hoCpAxTUccntdmvPJVa9zHXDXEi53O
0zb2CUSAz1L0ZQwWVEiu9W7626Uo6KNgIPO2WUo8DhXXrfgeQ91LhiB9yDHSHkgzJ/0uycfgpWEV
epqnPn7JyoRJGktMdle0xVtjONG2ToMgP2YcIttI23gHWtVT0jRG1ScLHeOnTpvpKStCbWySGrfY
CmOtmk4FRyH8JVGUACWgBR7aYdGyCTV+M8x1X2YmyucZHhO0QvzO7NaN5MqwWDatVb38jVSknZXj
+yyzk8L9ZRntsEO1cHYjgsIJScddE1LTd9Kc7MXfUTvWag6G+eDw4D5Ap2keopkFLgWTVrpJ7Nh+
7Fo66hH3hXrK8cyPlHxoahzRV+LdPAQ98WAYFsgyjfTnXeRiij0IHl9cyzUJJSi0yZDdIDbkE2Fp
q5/PDZ5//yBHWieuUDMhyKe5bR3VlDwmLfAglMTp04xSqH5uvWlM+KLAF4rhm4UM3jJiWm/MZCPc
WFpM/MecqwlW6JyFd9r58VMHWvuJWRRrpRkmgbE2WUUZjG0t1cWBWf8ObSZnNi/oAGshzfKXLTOR
rylsKzaVPyL2U/rVrmd7dAiG8qJnouz88r/3s78qBdnsP+gyoXzDBZH9f28yefgEeKqSz+rvq9k/
X/Xv+RU78CkipAKCa0jAAvYfm1k//MtdkOK+RymJ7wr3f8VXHJO2EtavPFr/3nHyP1ezzl+mSzaD
NKhjCsv0vP9MfEX4S0zk75RuFh1hYLKFpmPJCYT/Tx0jtUmRT2UouTNLnyZ1I1peX4TbeZXJsPaB
Py4vODn2EqTk5cXX+vZME8jyPpRdCLOttGNxsvvc2Q2Ads8+15N0XV5epsHQNZiSLy/ZTJe2Poe8
esGA8RLO22BQ+6nD6bzq+wYtnTEeRu3yDtfQVTq2bJV/TEIaiLZal2Wz9/Fuvc/piK+FSN8Yb1nK
1Ph1a9iMa7OK4jMeO//LaVsIEgGHytiH4m7Oweq0hBW2ZTNT7Q6kZNu0On/obeZTjA7G53Q5nswi
8r9KoEhvto5xVfLa4RgrIbgk9ClyuvVmkL0Wgrj6qr2cfM3A5XYPVWp8lMupmF4OSHM5KwFWRLjU
pvHdES5H6VCZDcKX7ExGucthezl4WTPimCsuB7J/OZx7Bodo1XdLdjKG/HdbdlYLcNrS4XtzOeBZ
NnHYp5eDf8hbTQ2U23U3DPjeu0CUZwwZEkAeblgtQrBTkL64jBQGeV/nJHqU4L2smBaOtVV1ay5L
+lVrlYEOVkpS/p0Xy1V6JJHZ0iD85Sidn+fMbe6KZahJLGt8DjW7n2UkYuoZxraiF3ZGeXeagYwM
FLSXUlZM2ZdhqfQoXyQf1GKGp8TWe0kukxWCYAxfLCRx185u/WD5cdaiLMvxpR9UcVc1bXKPdp91
u4iB+8AKTe5h+8Zv2T/GOm5vgUBKWuY9Iirzq1ZN312R5rYM+BrLdEh5zWQf6EPPPpH2mB/Dyyxp
BQ3aCOpFxc+Mg3VVYqF4YpPMxQ57zAR/1M2Yfptaqoj7+TKyhpfp9TLIapCf75mvxJkbDLfx9DL0
9pcBOAknO1pL1orhol1Xzn74x5Q8ZE6zVZfp2cQ5xTY11GeaFe17zNviOc9AmoU4y6E8VRICUtiX
8x07DKZyLsT1SlNVfkiXod1CwzyNPTenfcGBh+mPyNl7Zev8FFymfqsG5tQoM9hYl1tBpx11lUYT
vDhzXMyeACG3XCv99zDOuK6UsEo5rbSBxN30msJjbl9c0hElj8IZVbarO9amZs3YRiLf4NpSDyp+
cIlMAytJsvDNHNL2NTML8eX3wj0FQ0/OCDiFIFfLrcitxavuU7bfeOxc7k+W+8nG0DdvY2Rqf0uM
gytWuNy22mqmNCHX2r3qeq6PsAbwc+yc5Zbm1Yn8SrIYon1xucZ1lyudnc/aOUCW4KoXoxZVXPh6
5vjIRx0+tZerIWMO18QEQky/HqlhTEAEXa6Sl2sl/gH6FefRtTb4Rrh4hsKKkhW7bAbcxFQTB7gZ
clFteGA/a9dIP/PLJdZe7rPTcrPNljtuxSd8XgVwFL+RbOqbYLkNjyaBJ0rX4G3by425W+7O4nKN
Hi9X6ni5XRszVOwM2h173To8A0+In3miskWd56m8XNI5TKb3XE/FDXYZLvGdSdCXdsfY3nuWqkJi
2f131rkjLRNy4bCiBlQXYUBnFlmC8iIYEM2bH3nZeOUTZNroU2SGuLEvOoMftN2VxFr5hiiIDkGI
Ak3CLErjtV2ECsY78zcZBNQLkTUoGS3Ob6J5aBwmkKUf5bToHvlFA2E3Sdmae9FG9EUn0Ti2g4XY
wsdsINpJLcZFV+kWiSVYxBZx0V2sRYIBhUK350WXkReJBq0mVog24PvslbIb/Vksko5exB17kXm8
0YM5c9F+mL4AFHAzQxNa8k6LPxMoY0he8AAzjj6S3EBJ6pmKj2TakZcWoUnRWNEAXB/E1mrgEB66
SLnpowlnyuPfjdKXlsGRpGUiCiotQ+eYjza6Vu7OjUVozbR+SMwEt6yJnA/D6Ms7km31zmkRQwvU
tfSuTBTQMWXHoFgcb6g+4DmOBxoBR2etF7mNCz28hLSrxdaY2xBCRV8MwVO8yHTc7OySVQKuHO8f
Op7ERLWOMoJ9LgOywmVBWJ0gW1CyuV20QK+fRLv15uhOX7RCoGfohkIFvLXcRU6Ui7A4OHl0YOVp
7uwyLNbuIkDmixRJkal9IAICt38RKhtL9IDxES+jXOl3OckBRm25LBJdnAEUHvA5pEydZMTZ6zsH
hqT/oNkGbRy/fa1j1pOsAOBkZAAn69SLTqnTaa4u0v0Zk8w8Uk0o1sBWyBv1zbRxpxSpFiZS1Aa/
WDB+QcEy9lZK266KcGWtNSE1WkLj0X1VeYpqWDfID+x0JGt+u3YH5+j6Xu6sJzJHzXFw8RThfq1Z
ejsGeU4028lp13FQaFCzneBuPSbiB2cz6XrbUtZLgpI3rxrW095h4GI13sw8Pj8RwTV4kD2jjpug
n3Clo2vHVZhv59DMDmjbxtbuW6w2CfsYwI5ig20vkJvCSbNjzeZ2m2RZ8JADxyE7EBUbUluslURq
/xZppN4LAQ9knCf5ZbBuh2Dou+lmMDOW9q4X+TcBkQcAeAQltzlxBZK64M3885TVhvHsshclxT/0
ab2m2amtNnabAppoUZntbckDE2/KBmlsCzLSQTzt4vHYpIZz03LrSbnWEE/akqnB2hskeXYMZ0f+
Ei0dJ6VfDDw7oimOZSlpFOCN0AdIoKa4neEULd6JLrweZriPJva4aa0snXyVjXSugDEaOfG0RH01
tsLposJ6+oAMrbIN2+zFcWuIGdIM7tQAccvCqgRqjTmUYNRMr5lHiAagV3ZtAQ5GTM+dADbjCFuw
RNBv7FrgZuZG+cIQxTY9Dy37W7ZT96bJ6F7RkyBI4sA/IWeGtHFD+nYxoYQdClJgeZG1ko6V3erA
QnBxfE+xMjSSeWPl4OkoPUhLwgGWyPBPmVSsDN1y+iGNoNSPJv89uyjna1bsqb2myEFsSsI890M4
1y/OxfrsibQ+Ctbsb9nQ6uxAtXZ736Oh1xsR2x2Uo5Tf8pzWrOBuKYiJr8dMsoBzuPV9en7Y3ttN
6T9EsgvAl9g+uXII7cDGS23znPQe0cfcKbSJkJlt8OYTwcV5NMCE8rp7L4YUC+qZCzfZFFA9vMa9
FwK8bEGhGCMnUh+Qt1uRkEp8jb2s/mXjJUNPUBOvi3hYpqMM3Bw7Fa2KTwaF6IG68Ck+C4R7PPEt
5mA+NpCvqNtNA/ZtVNHgX+ndCb8FpL6XPHIBS0Wc0beaGOep0n2/5SPQ/Sq1Zz0MOb7wjdWExX0y
j8az3Zrhi92P3t7uw/CXJvryPBliOAnPM94n+otb0G7ZfD/UmX7n/cu44LbKdtclqRTUPpcs01Ca
4miyPX6FPcptWnPGvPqw/NSG/ACOpLgws3xfq5RNnRuS4lrD52nA9cEYhcRjAPTHxEeB1QG0cHnl
B73Vruo+cY4El3xwx2bupRvM6kiCbpK00z5ywANfzcrPT552p/ZILgu1JM3gqm+gM4e/+6ovv2Un
gHoX9CfbW8ld6sWFb8ySJhnGjj7FBEsNiTAo3FcpchN7DfYtFHLMw9ATuiNRbnzWnQwAZNiFqDe4
zTyMmVU2q3EN3KyhH8T0a/HGhsUSDx7auNyHPGmNS/jC8gIopPqTsAAOxhik8qAQrSk6D7YxxhRA
iwBKjtD67AW/RS71jOKId187Lun8GQUQKzz2Hbbi3pPJeQPWNpqie7LObXFXABkB5Jtj27HPOFpx
49GmoottKehUsE0H5PzaKXtoBYRnvG5KcQe2bXudzDXjEXYizVrWakr3RuGaj648S/bJrRgC7RMZ
i6LhkMlUbUZ8UvcqwBZ3Fh4zydNUYLjfhyTpnJ0c5yQ9eqCG2KbEbOsPXhdN0w4rwiQ/ynkyP8M0
y4nrTtqLPnI/Jh4e0PgVnGNKGSO8nVB2SAz2EmXeRodMWZCBfEkWXp354fi9VIiN3UBAPmoWBcmb
wjPHdzsccmFRwTKVFssiwFeHmnjiXsWKWcKO/PExqVjBHSE3Z+Yu6VCaSPxrkCS1GwzBesYTjM8m
t8HOAE0wNioe/D2mqjC6oqtu1DsSy5xdRMqC6KpqKem1EYbJSIDy9lkeEwcs5PuYM2437TiV1zDk
7ACxM/HmcgVLVzRXlYlH8RCJMIFT45VB8sIh5csjbgKaorQ5DOd+oB0N2SuVffmMAOpmXxaf4fo+
1mpCg2rIE8JbR882pd/fZW0YvmcMdyxFJtUEG8lfhyVNl07zwYoFccfEcOdiKyIvcFezEahdYHdw
M2fRGae0zN9Dijuh2lisFpO84Ux0o+bDcMYQGdac7yi2esj61tSshXJCEUU4kGefnZ6Nw+g3yQYW
Y3uyVckxVZHa/z2nzHpHK4CJtkFiWOIMRTJ9T3HnOEc5WDEDq9lLHHWsc7WFLk12zeH89yZAo05r
AKxyiwcdS95NpLDyUzzyiWVqiSDsR2Ly/DXw+v5LBkIv9l5i3pxCXcmqjatwcUhlB2NL9lP8IqFE
8PMQc+atijS2biffKezr0KxoYeOrzXTlVr1pbIBxA6Cvy4QqG9WZ436Mq+Cn5dWfbsfWls/Scrkx
5VnTfZaGXx0RNo114QfROWgKSSSonC0fS7OHv3suPefWK2IcK/j99mmTlceMzcSM75hvh48x68Rz
qZ74zocHSk9Mvr4OrHo7zPLYmNX4iY8jfpmmVL1ObUzdCMsg+6oH+0yInujOmjKn4j1m5QPiF5ez
SXmNZZabofcAxFd4TYqbUOuW95IjynBn8Bd7adHuTwKkFqRRHGHgNkU0UArBZR/fYEQ/hMKu261I
VZn9ZsBczRu7Df3tf236ZAH8fNfY2lPgGfLfLt3u8a96gd38b/+wvUiO9/pXNz38krpQ//avfOWf
f/P/9xf/4HP+A+HSsenx/X8Jl0+fZVr8y83nj/67cvnny/6ESsy/HFRG9gShJ0LhLpWvf0Il/l+2
BT7A99Eg/4iaf1IllvMX9YIhaokTXmqYERz/SJeCUIln81WuizfdoR7wPyNd/jN5J4DYvtRP2h7/
Ndu0/6nmr8Mhpv3R77a81u+siGRnbrQfpQuEpWOCNFR+5fL2P2hJ2OBv36n/A3zHd5bf/O+qKUDx
wPdCxGHhINT6S97lb3kWhCVKzfiYba3CwFi3GP0MRUl5N0qcSQTF0CwyG/hKn+w1aE1sUZb5zauW
GHaDr2Wb4FFjvUYw46b3BDy4efRO3PCxOXupc9V2fPbTTobXTirFRneAzWixI7F1iMxmgw88uGfs
9vLrhgvDuvX9J3jYOLdoD77BoorPb+bIv3VrqzA32pfXjK4AU9NcAQtV864ASwDIrZDOTeDOxpNl
tswuDY7de9AO9tkW0ngKCLmvQfqHt4PDDn/BLF3H+SKZYTl6zlJIHyRPWQ7juaH43td7XineKUQj
2HtpCj4cIBGNY51hMBpj08sPbsD2M/BaX246I9XDEZdK7Zxa5rhm7wZOtI9TZtjOQLmBEzOJD0EU
HvuJ3dgPSDfk/2UZLpRkg++adKbD1GfyrOLO4HbWJuU9rp3+F3l58x0lRXIr8oxqWmOU50thow9v
WGcTIKmYNR4rR76SPPFwZNpLZlydROWewqpqDjB3qNDtRLrPWuPD12Z4bWp39DeFJpdQaKxdqzzP
NNGMDIHsMJfjeKMRh/hh5fmpFyMhlcTP97aIgSpkrajPFYuDY1LQwOBQbPNElVBGLeVAnKTj9inx
8W9nzY9bWrn5SZ4YNlLVSFoRg3Lc50Z4S6/zcEZdj3d50zXXjsHQagc0HXsD53dgSHGwcBAQ9Rch
OAKlrfNEEqFZszkO1li3o2bXGAU/flpedqHGiB0HgkyJYYe73rXnja+0fCWEK16DPDevm6zhmY69
k7Ba3CzLc67iFH4iYK5rZ+rCp96v01VSarUZSBJuHVxYCBRhgw7XJjQQoZk+BTaNUyvP6/JHEcvQ
2vSe7wFCwIwnkw10QYsQA3PWRya0Y+0aDNnkqYmoUCIm+5RPizV4+c6dZ9grzmC7/a5M0/lGVIHz
VbmRglxQMYUEmQL8BqvycXCi4Bfpn+4xGGT4vIjaLVZnbXywLx3PKeVFT04OpWcz1mMb3Lg0NCGU
jX3d/Q/uzmzHbSXtsq/SL8ADMsgIkreapZRyHn1DZKbTnOchSD59L7oK/fu4Ci78jUaj0UDVlY8t
iWPE/vZem224DAgBGEa9V8z+qa4wY3yIY1qTH+jSUH9U00jtwZAIcU4aEKvfPK+d9rMrp7VPpH1B
varkox2b7FbnSbqpQfA9trGQeF7rY1ugJHj0Oc/Laht7v95Rh0dACBLR93hsk8MUyvhSp/TBzg0Y
MSuo0NjD2h6ulR9VV6aMeaX2o9U9KS38zySwg6NRqnljSJYARavxaYZtLg+pCWp5A+6rvcxWE9Gg
UzQvdpDVGJ20dW2Ws3wP5qHYYY2PfwhlURRR6AITyOA9lDCG32luV7dWT8ghiAIO4ei1T+zjyn02
AJfqxjB/jRJZP+P5sp9oVnOO9A4uUKkJ+hMlqOSx+j7V+6ptMyCTRQZ0i5ip1Xyi4RXhVWQ3YQvr
OfOcJ1HGJRwd/uZrMxPdYSv0IwhsXH7OZPbz1opkOR+ENmbm+FCet6XCFzVFKA6gyXHNJ30zmuvQ
rNl2QCCgYhG3cbMZkyF+50obwamCNeGBRKaF+hU8SdupikirR2DrcexWFPFsbLvPtz2mVv/cVZTj
zDZz7l3tpGxT6KrwiJB41jdpSB9FbR6OtekGL60tmmCTGIPGcVPo2NgGARWJVzDeg3fWzEv4ofP1
FQZmDXmm6NwjFIk4YJWXUngE7AbR18buEoRQmopkrK67JmrFKco9nxa06W2ieUTA7eTAAAY1Hgp6
y7/gIg/Hdi6jrXYFFA+z78khTcPU1Rs15cUrFz/sgnwm57xG8MAliaWf2VEva+TSWpOxX+duvfhS
OrD1K0dX1ttYDQT9O3oDd3lkFtCs+rp7MwrdOpAQK+cFU6X5Wsek5sx6Fp9xD1XcdmZ/43dzszNJ
j93QiOZ/bykAuzbr0U/2tiQiRZRjDvBZzEG5n0L2bWv+s/gKBRkpLaxc+xGkm0KWcLjpV6UDFXpK
Gr5Ans4pc8ZoRm3UFhaoVZiS6lulbUrF0dw7PC/wzdNaWKYw9NEYZU9LjrLncef9BJTl7IINGtN5
73gLwYxXTxBuyNzD+CkXxlm60M7ShXvGKcPSs7DQnDQjdrbw0WK0cX9lLtQ0sPL4iDMsch04ubyg
7ovFNuEy81wt1DVr4a9hY6C53s/JkiYDxmKW6s06rAWd91ODeIH4ckXTqIZvheKzYi6bFGtPOWQS
/YX/Ru0dKDiNR9DA0ajN5UYnezh3jdiGNJp/JyDFddtPJLMwC/jtj2b6Kb8t4DnMshhFfuLo/IVM
lzt0k5Io6GiOLfd2p8bbaMHZzakOny2yUatygd0Fjcl4rIogX8Mzk+toweK1URjdtO7CyhMLNi9b
AHrDgtKLflL1gAdP48pacp5rjy39yiZFdvHm6Dw5S5nYwAu5r9u9Y5YQ+1wRPQ4jCSKMbQ1OR6dO
r8VPyF+c2dfOT/Kfdo34fuzg7SAImlcR6G/6IWjwK9mBLfBAo5wtXGlEVxewIAvYT5q75IYtzE26
wAfzBUPoJBWfx19UOwip7qkrNcBC8oLrHBT1zlngxAwwCkIAERSPlWotG/yHWOiHparKKywaHrkE
R7OT46JiHcRC6Ee+4BPpP4Ck6C1QRSUShQppx7AW0VpNuItRDkFK0BSBi7Bvvhg7kJZ3vLj77H9m
6POfefqBNNvBXUL26c+8fU2Cjez9zxx+hqBBEw3QH30sYlXxT1Pl1cGS6QumGxMu5amb+zUcEepC
3VDyPqz6uH/pZCteNFaorUsuDV2TpYpadWoxQ5qe58TbpDbVJ6ZC985pAv0MBRb7XT3E6Sn07Are
mGD1tW1ak8hWmLfj1tID91M++SQz2mq+TgmuHZrCdf6xUzSFSKCwK++V/lLAcaPVI83TGjhWxwBS
L1k4+gI5eTzAK+rpMoTXWqbNl58KsmnDLHIsQDqZHqS9wLtYsSPdFVNiyoNJjuncG37UbqewLM9R
klc/OngnPOITC/8954XZV0Cqkz23cniIxYOWNPBiRNI3Re4okjHMTUAoojLNWyfEu38TQkAoNjRZ
c9araeYAJakfZ5uUBbHcySkSD0MTkKDqQROa22QQYjjRwjB4O1gZLDqoUj31g5t5LHvMkRUwZY5g
bpz0VAUJnkbfFd4jmU/xQvpCoTOCIDtZTmOTVYvG88xDB2M/j4onHAJDcTXSTFoDsiDXiiiH72Pj
MU5myVqNmLaKzHj3jDoeN3SlIKgC/mrSrRbgZ5mTeO2wg5fFcJpz4jenaAqCl4w81XNDriM+41hS
3lF2OjxmZUNfY1MbX6ZFyWIaWD+Na0ZxnEY26TQJRckro1lCasgl3Qtnu7rAS6KuYs7t7ghulC1I
m4mr2cEb4cugO9Nzg1dOBsvWnZ++nfgSUK+VM15X1CpEGzeCIgW2DiDgpvJr+Qgwnmnsf9iPWYtJ
5W/bMSl8E6AvrCbpWdhj/r4dY/Dd9Vns4F/Duc9sJaSjt3hAQHq1/fxByIIXqxuhKbTxN8qy57s/
7wd/R7F6fLwyTc9hdWc6prn8+S+7wTRoRZ5qo9s2QVuvyPYVZw5+dvXnT/m5o/39Vy4IXBvXD//7
CVn45WOmdh4EHcbYHEOGSf3QV6S5DdvwDk40w5YieZaLlfCL6DtcckNAaIR4tLKYH75a4yTJbNDc
rKq8u0+J9V6WQ7ZWjimuDV1NrxhRqjXVKmFBWDdxu1sE2jLY/fwR/6cRx///gT6U5SFV2H80kz1+
Ze9F+F68/yrJWP/1N/8py1h/odMq22dwadvo5IgT/5Rl3L+EjWiKYGOZllS/wD4s/y9WDJi8YCEJ
D04sBI5/yjKW/Islj+/7EEI825TqvyfL+MvN9utlqqS0LSWwtDq+R1XSb0jkOPXi1k40vSJmd4/x
OT7k0LjA7Ml+5xu5/ko8UJZ4fn3gRjkJMrga5JCUfeBNYdOKlRTmduC6xIzNvu+O6G63s+agOFJ+
mqMzMLdzg1BdbCL+R/TKctehJZNTCcodXKmEKDoG1Y8WAk97SUzHMkl8xeqVPWf03FVFe6nLho0e
XteYwvje9K7ccSZ+pjUQWna7IPOSBHQRez3Ab71DGgq/zCecwoZHnHfFknJ4VYJyCuoGqPDicMQz
7ziCaA1NnMj1vGLXeeM0RzbFyVORuw4wgFpphmPZ6Dcrw/GMYl0wJ7tJR8ehesHBCk4Wx5eXpai0
wDLiyqeiMYc3H0rIBOcv7o6VnwSPTKLJHQPPpR4CN1B0vdQ94g4yRszpHVnCm443wHNTgEnZUh0E
QAz1YzWQprewOh3YDurP0sxzJHXYGUTD2/amo3Qj2ugCBy9oSPkcmNo+dzY5kCh1zVejpONkxQhz
OE71oOHOhrQgU7L83ZsyDnioxuWLZzaDFb57HyFJlF5zKHtRnvFTI9hwmosP1RPkaSOTJRKrJcGX
9HzcJTTP71MzsW5wH7D4Tl2SikG5tDp4BkUZeCXivWD9xTzRao5OFHibodWn0m3NLd0sRPoAj973
Y2ys6IIYrNVYzyy1aVkL1nE/6/eQnuaTnlx94YLqk2AFwdXYK0ID2zBzyS82/mYYW5YupjUwRmvU
wTXy+Llqy27DHLK+sgzWn4bh5gwWx/rGZYpGfLCc0P20fRP5qbnNPAhmqs9ptnGoQRMGdeQ53Qjf
qNCcT5ETBrelXRBcS7hQm1K7H11ajDvTHttjWoroQCrgsYZuQWtTiamjj26h3UK98pvqCTdKsAt7
z3mPrX66is3GYUgJU0WxyrHdpn0xzeoth5+4ZM4BU9TDM2XleAOp5SvYuPkyfshHfSD8eFsJ9PpI
nlS1C92ZZQcBlxU1lgxd+qqnya+rqjVrO/oLqzaMH7kP3AtxKXXvp1LRO9ONySljtPLauqb3yDy+
TDfYs20PVCU0x1U12jmBmWYhGRNbORB/oUGCw4fS2WGoQ5+Kj7lvY3XOS+U8F4nnXMscbojVLHai
KSfXGrg6/kGvZrVrCFZ1iA9B+4ETidUHBck+NDmLJXMX86DA89UAHJZquo2cOLpjY6E2zHtMTDnQ
+m8r8gPsntGu7kdKwCo2w4iwKNjDWxUn+DJjikgnsB/XBE3YkGmb9G0E9XxDws+690XtHkCjgIoE
QDc8ej48jD53if6SuP3wszh/nDpRNgfAK84H13f8I1KDbZN7tGrGepOI3q0gc1DOcKhigolc9yZx
6mI7mblgiprkdr1Ly6Te67DGvraYTvdVnxY3mC/sxwGPLQQ8KR4AStrnxsCYt+KgqNsoJuy3EaoG
ytngjtn3Zh/ezDqx7vB0qH2i4+5Mx1H+mXAJc1YDWzyj1HXnLG1tFkxzffBsduEWGgxQkBxbQNZM
BRBOGI1XKqgo9Kh1eCWtITkDpAaMwuwdTFFjWNYjmWes/a7KjC33r3tNU0J+5zWhee8QfYFWYik7
OrEadp8A4Jh4nBijfOq5xO+eY/9yzQpYSSPrteq9U8LMlns+wUeAFXDA9GaU6T6m/a/dprEXnWxi
HgftF9dm0tAybRnS2FQ2RIzI76zD6Fk5iD9a0yQ37ha3fLwH5URpuJ6Lhxau6aqjtQHMu38zUD5z
gTDqfdJRG190GKQ7C+o20ns3XIUqFwe3k+ZHOtfpZRjkSDtOAOkpl+4Vu3vOoQgBT/l1iiKcICLA
DLgqpgkGcyl7vaXL+MNqqZvKLKM52E6hXqj9JCncvyQqq/bc+qAnQTxGtYg2RpIO36E2fSVt5W5V
SwtKBEt6PZQo55ldn2ID/I7spXMEDHQjDIeQV6CMO4jOTP/nsDiGRnAywwZbGW2O5rbLjOl1qhZZ
NIAQeycCx6bZLjSqbeOIDfuKR2iW4y6nHGhXRtVrRsrimFUdoccm/likrAw6hXCpWMYxvYHEhK6H
DDfuOrjl99bgJJdxMCoElqq7boS4cj35rR+rA+oB9WAtphJkgx4n+GixaxJnyyGYsSrpiZlXqvER
4bVfMhl2+wSoPXjJFXuOCYKzXMiIEZH3VV86+b62kxPgWEqxAjnVExFHluAby+sYG6IY0g7dZO/5
lGHMYAbxZmdV62NwmeJLMnXDvoisGjiXTYVM3WXNfq61x8bQ8VgnEFIm8h6mOb63JtyQmLRXc2/Y
X3kXDvFSXi/TrVN1EYsZI8zWle5j7LlVy3sgFi09eNQqEQpk2qM+i7Ltb1zV6Zs4jYDMFJBTXGoQ
Vr4Pj4bh+6UsvRt+FhyBUE7Jo92atb0O/E7DxA30+BwE0Xefy/1tlnQn6O5C0K/fpW2dQG4P6vtY
sX8umdPbPydN/Cj4GGYSijskzvnNCGtw+W42nhK78TWuzZkCI91Na9tv9MWlR+qjFWnwjVkuFU8Q
ebeeb6tVnhsuddpV81S6A0RZlUEEcNsTE+z+tkqC8JmIWrXP8fH/sKEcveLnqXbCnZk8eBns+0PG
AOagC19WhLcaEooVM+yVJKd0yztA7/ssHa5xZ8wnmlac5xhX5glG8niqGY9s8OubxyqXVBJUrjwj
SJfUFIp4qWDiWElkxU9RS/NA3V+7sTEz7uiIY15OB+Q+jeR+7tKnSaUzFgYqu6UmJ2nTftfKDR2s
gHqBduFkzYkl6ubLdjTruZJLEbcAPhS2wTyIN3mn8w0ulQ1ulzvDrmGYl9o5ptUkD3EelO+S5xlh
TZYUss0ZwnuFuau6uOQNQ2gqwclzp+ANn0O6xXa43YJLgVZJ6jIQuyorqg3YjzXDPXEdDv2VENMP
y2rJuQ68pmAQsdr/3mft1pnlBIKKpda1n5bOrgh1fUVWP9obVAKareat4jfW8NgFTfc0ORgOxngc
dtoar80FfgsqiFJNOFtMMkbihRoUSLo0Ik9O5e9sHmXR2rbHN/7ScI4h2n5QVYRnPzGpyYnCgnx/
ar9wvMkoOaonl19VsburotTZytA0DkXsRCfKMN27Csf7KmDASc4qSG8EUKprAgHBnYkh/ZxjJjsP
TP3EKqpSecsdilqJ/Nac2Yfkd0Uo5BcBsZAAQkBp5Cisa9kTz+ybTH75UeBfVO8TYtQRwI6mrq+k
qcC9UlkQvxlW3l14bGbHGh1z09buJzZV/+AWBKNCqp+uO8fy3jAD0xAIxgzxmRc96yI7qS7VVGPC
bcAeH8s8pPY5ktXE0wOjaTiPxS5j63TwG1cdDelO9wT+WuKSTX/CQx5sCsMvTvRNTc+EdoubMY9e
CfkHt2ZQpVjQvPpgu1UMeNjew39NUa+SeufGytoy7EF0jqzyunET3nQVwIqKddO2MHk4976Kgc+k
8sVkK8Nh9vKbuueBx/qxfI0YG33ziywlEF5wATetg0Ucg81qDvsergLmhLtQMADKe4W/qprHz2DK
0rUCp7gKPMEnT8hFLTSQ8+i64VXpQlbohvDFWwKTIlfLpBisWxMeZwqOGLPShZtn70zFhlveqDS0
gOwqN6bsWwwzxsY0J/hOeFVXXqU/41j32Mmr/JQ0euKyHoABSss6uSOmL9Gm8FBzbMY68ta+Sbil
qrME2/V3PZj+99Cr7GMCNdZjCQvUSGfN50R24yqjSaCFvpOlO6HxpAW5NrfMpMsdMQEOn6OdG0N6
zN+itLnFSVdQkFVWHyYXzHWfWgNGl07Dkk7cFVsflhOQmg4dhvNL7puEAMJ4egiCuGW9kGTvqeXP
/BRG+3kxR59sxsRxwPO5wTzkrAacbU+GMev7dJixYFIHZb1RMmF8y1G+dnVsVgcmTz8TIRlg8HnM
2fR0nnXbkBoCG0IThkdcCc+sn+68akJ39zWjO3ZywHuqlvMlsWa/EkjSXFkYvkoGL8yteqa9GANr
XimlhM/aq3JNnOKHz4J/6PwzKEj+/apbj0Mxb3wMqCxPzRNtBeY2d/OvWo8Hij8ePVTotbKG+JZk
ChOUrJgOreeGu8lpasxOZXdkfA+hwiyhiAxY13zwzM8GEti5nMrg02DNlNHmUCBAN5KOVhU6TDoG
92LPWXVWnZO/uV7QszaS8liaLGmxhBu8BafRwC8hYvMAZmdswGQZjFeoWKVLJc79PUg/oha6xDM9
jaW3C5rE+zT9STmIvBL0JeWv3+gIUO7KgMPzXLFE2laktq87PWev9QhYZYqC+KCEPb6rIsp5d6SF
hRNxIqrkFPNdiCf/lMp5vDPalgmAxG9KlYArtkHqzscZpeLeJ23xHk5BvFeNrl4r3m9Lm6R9dCcn
X9pDmW/gssP429EC0neWSc9qXd6Bz6FGgiBH82XO4fBo0B3rrtrBaS9KknAh0gA1jYyK94btot67
rfgRUydzwjGKzxBrlX3rkWVfaxzi0P+wajRm20ebypD9ZXRncWoCIXbGNOWvvUxZuQJLvQUgouBk
Z+V10AzyOmtoLAAJNE+bMip0TihUtLep21U3LK6TaoWve4KVJXjU1LxE7yFQ0X0HXCo7Vir39oTl
moekYg0LZi7ND7nwnY3PLuYsQothQVa0T8o0GJMsLGeYJotpFZtE0AQYGP15SI66UGIlWz2fgPAv
oLpZv+JSHh59VqF3vdC8TebEfs7FGJ/8gWw8eB3eRYGer4HJVNjxKjM8N05iXYoW/mlkLUjOBHgi
uEnsFzNjR2CCiZLvA4HaitiUbb7nykprxIN5fHFSTDArgSaN8NA5Zr0F7dNfGXNrbW2wCxpAqTHv
JsaZF97j1Vs0BtXz4NaQqiuHjYHXtavJE+UN4T0PpEXqnrxGMunqB0ZNhsivmaCyxEq6lmpXN4mH
V8vt1EaaSXQTOKPYNzSdukRCUvVGy67BogEwFvCG7IpOeFadceLCXOideuvWQYKpUYWcWu+dij+e
YImxnxGtdubEHpzfwcSLScUg7LUKPJ6uyM1pC3EW7cHKOUsW+HIcNWTs7cysT2Xa9rBl8B9/GHBk
iREkLJdAVpBAco0679Cs6LNcx4i9/GqWt3ATH+IgyS4xPaZrKUZITKNDVOz/rv77/6LVDlvEH612
L19t9z9WXyi72a/Crv2Pv/cPUdc3/2Lt4jE9cNFNf/XaecizglU4Pjvrp9vuv2LCYtF7TRf/G6hX
sdiv/peoK6y/pGNaqLCm63lowuK/47Vb8Mx/k3QRcn2hfFsKy3WZdPLnv0weXIedBYRfb08IMN1B
VfBXcNFiOCOgnbpiOv550mGhiv/+eQ4BaGyCHBEk699CyUQGqLg1fXdv4e/dhyJNvhaG691gFdV2
nAa9yYMZ6bLnv6LXYRo82jsj2T/PQPUJ5Qj7KR1I7m3+w/f63fancEEKxHPHXHyM0sXb+OtxYGHN
oHfiIalF9q2jG35jacODYiQPonNOPkEPUMg2cdU4o+xlukjU5dOfv8QyTPrtXDigeQQBE2UxUvjt
O6Qe7S4jxJ19FY+gV9I2OHlWXD7++VP+zRl3+KkQn20fp6W//PmvZ5yDTFNO4u3tUh5kql88x40P
OiZRVutW/4cD+29+k7RNfo2DQdThQvr7pzWiscwx8fy9X7hqB4QqWyU9Zvo//6Z/GUyQp+eOYNKh
oJHjIfv7p4ggtWotA3cvYfiQmZxYV2X9/ZDHn3/+oH9z8OgLUBahf1d66vdMPfUvHNHl8g3g6K1y
I6FnhZ14SurQTtLr/40PA7WNDdeRpjR/+1VjTw2H2zruvgTutM4Yj66iQQDomWkFpkri8OePE8u5
+O368wXDLNvhiYD/9bdzFVueMzduSCGEwXi/gYNGr2tg3meYQNhNRemmYtKxizotDnAQgX6befCh
MpuYeDHW90nqNXu7yIcNBjwCV6asq7WyvWwjJWhVYp15tfGiwiczkxQxCZHc61ZgBLB+lMzI11U3
W5semArA0kTdNXne/Id5rvVv7nPCm0r4Amz+v16PmoycllPs7sMiEscEQupxGiSW9kE+GVNB8CIA
stmEP1yb9nhHpOIRfcz7D4f6312vPk9uBzi/KW3ntyPdJFhokML8fZb1znF04uvCVGTK2duv/3xS
//WTMGzz/hCe7UmO9W+fFFWLaS/xIRkEcb4ee6Q4Rm3fGNSI7Z8/CXn3X++Oxa+NfdzG/Ov+489/
ebTUuWUbrmiJAfuD2KaDES/L0fEWJWa8V6CciSp2jyHa7DYhYZJuOs8k5IUVlkFFyQTDb2kXn1w2
XKu2l+oBSU6+y6H2DhrxFz4zUZgHv+2cc9cN5VUKnHIPNR21sLL6ZNxlmGPXBLbRxnK3P7LD8A5V
5Kid3xTT3qjpSW+aWmxt2bDuqnuTZitJN2Sw1x288TC3AFTgerwppDUma0IhahsOo9gMLj3rAd0B
78Te8iMMYr01M8irk083fDnU7jGtO/c1tmfnBkNXfJhb0t5GAFNH+o06eWz8L1YysVLrQC/TQXaM
ZNxgebZYb5N1fgTyX0GnKKp3LzRpi4poqlxFUw3MsFyEeOCguwKV4BCbXfJgmFV945k5ltQRdyMS
xggLetR2/VqNQ3Ch6z4glz7H+yGvvU+k/JG+PdN+S43kpchAf2GqL9VV0jU00jR4xfMI1FKMnm3k
B+rZSR5CSBX3yD3UiNiR8q5Mx25vZgw/VFnVat/WTbrn51DkNuC4wXsab3As9hlGuhhFgafUdPZ7
JFJsJ/1SJC+C3iUGWsf7rNbDF0smjom2i3MUFbANiZVd112A7Vzaoj/WpdO+WG0xPEsHRh6Jy6pV
K7xs/jPLtgmPOxvjJyBFzrGnv3at69pY03TpUBOn8m1ZmxhUYtSHYF3PvPoZ+mK8WiWZU/abdPBi
CIN+AyuM8y3agcM3GC2uWfaBxAbZ7qzMgfoep5LyLarEdOWSGnizo9oEM0XN1A0sI1NSm4ZLZOX1
Jo4tHh4jT05nahT2KO0/61Z22bNt45AdTDP5rCW7AQiEkivex97+kDkshGhj1NU2YolzyttmndFu
/APM74TFnU6ncGMSV0v2nqiSGUtTP51FmtenWXWqpC0G1C/wMmySED33YmaBw4BH5B/KlrQn0Jxh
bPxFAWgwLbJHTPvDgCx5QdEM41XihP6+LI25WUOBzTdeEVyn/Qj+3SYFCXjK4vtGumF/S8Ongv4i
VORTxRHPZ6EbKuWs+hT5wJZDuIwP0JLB9sbTbqzc6FGY/rhFcemAP43qoI0y3Pk1uA9PmjnndySf
qUauj2xGmWD+36udW4bW82B77pU91V+lJett3NO11BAg/OYHvqJENLTro2E1zYqaO0GAYABpY81S
7w2Mlps6I/SXIiNcPPJLa8zBEcHJBlqFQ6+g3cb5Oy0lsKDo/2RA1gTfU3uWAXkrzfg7IYSRcYof
AteGnB4b2VZPZD2MkbcwS9Hmc5B5dwdrfjr42sjZDfbetmYHvcMlydATv/04sEAcZ8u5CoROtuNC
p2j6BJGpOmEA967akhKMNao77o82BDqbBE/hNIBebGgtNlASrpqm899jT9lPYpbdNgtDmxou8NKs
ypvgQFdMeYjyjsSYjLkVPCM8xUhiG1WxOGbwGF2F1fDqeU178kozXfPWIy7b9z3gg7m4dJlcCiEd
PW9KVF/GrA2MGNfIkrXTJyV6Hgtv9Phr9IxoS/Hj/MCktL0QKI4/xpgnrmkI+BVQ4fZ1Db61HUqN
HsfguArNkPj27D+p2pm3YzMZm4LO10voJ6+98hG+2nxcwo2EcdVtkOX3JliaYw4U9qh7oPNBmmzC
mY7YrId7WNpKf+Fdp6CCyGA+c68Z1uvo1/bFydqLDojuQT0L16M2p7VwJutMvtMBueZF2a7JgBbL
rNS70vEXRm3HhsJSpGiaZiBuzRxt1zhMr7NupqivMH6MCtu6duUji6R539dY+OCeP2tlmXvLUnKr
qVu5OEV3V8XN2U4K8hmWUa1nnuB7yHjvVlmCWOSX23CfCRgAsXewnzB32UC4c7aj0OR9e00iX/fB
fUGhxhbby3TFqPzilEOx8RcwATyLkSB6D0zZB0zsgptYq2m+VbKmcRslRq/UqNVr4Ua4ObNw2iE3
wEPwzDAAXVAYDEPKqaieWJeNd6KIoUEqYjhNrHFV8rC5jnPEM6s2/AfYcvKNwdLQbCjDaTgalOGO
PM7rBGUk60t349bQufHwN+mwVSVHBIrU7N5mssCmEPLwehmipv0AK4H6UGNZ7I9hQqpgpwrw6107
/5hETNghRhQk6PsOU6I88s8x2vHGdpc42B4s6deM6qj0YXpo8vC55ias93NCVEbYfvqGZ6o+CWjQ
yDXzvLImMoVUTka7OMYzQ58At7FurggZjDd0uT0PaJKb0DfQTnRFmaOobxUtQrt2DpIUGqpVYDNV
mis3bXFDuk79IJT54MZtfSirBCh7N5sHlKDkNE6tc8jrni5SYhI85fuCGAl2vv1QC7EPy4yRPMLn
NsBku6KMLTtPXS5uqSqLN4UZFW+l57Tb2pHMvqeESBhPC+ouyh+8kPDvFqRJZ2UOTwiFkCfjUeqv
BiS9syqphdsQWsL1DICCNaOcdlQGlURNyvxIQ8yPUojyNOrAerAtv9415nQbN0N6mmaJ/dO3gSRa
ljE8D2ka/pBz2mwjzs1N7U3mkchWsDMKv7mfiZEyfgu+0yTUX1uFAbQ4ZiCigLli90369ACZaKQi
CHNMTzZ/Cz/6Dr6Tt27tSOxwKo67OaDLcwX5pzglkivBG4W5s+we3LtI5l05xukV7A/s8F1OCcd6
TBnqE9AuP3EVZFdBIdJuV3QcEV8l2T4ofAtbUMncMVJXqdO/Ts1YXsZyvB4h3H5netlj5Lcpbrey
JdImrnubtJIftO273Sq5z03gwrmc9mlpPBfBlEL7JOC+pW2pOJVAeLZRxewm7FX+RMavu/ZdDOUm
L8ED7ZynAjv+k1NFWD0iT2xqf2i+14WeeXOzKFiJmH7fsg/1phI8m9NShdcAqMI7qpyLdWtW1D3l
AjIG/oZyg5Ax3I5R81ItWYbS6M+RoHYknzTMdZ7bTDsrAjwjTQ0QZTDGz3sU+2G9VHO3c+VexGzl
fGYc37GwlyAi4HfSTojvtrA9AB5j8QyUOd5VLsXqKblEFR/IA3VHhHLmh+ROQOu70NUsBmrgn5wD
8JN5nxkFDCp315bS3U0KwZphnuGd/HJMNoLWYcA82PsNANrMXTZsocj9htWepXy69ULSNipKgAAM
fry3+fxVk8vPrpbBq5srajwZ6pt6UhS1z4euqp+mrsUSMEynzuifvUQMtxGYdA7tm9+BnbMj4xOc
xrOw0ws2+QcG9qTUc+sGEvZXmH7BPx32dUxSi/zWIy542jdqWkOke46ldQGB3q/B/bRnGm/ODVfQ
2QHwtA+07X2Wo5vsQpETJgrX0DKHPfya/GW2vyPFZTtP1Nba0km+zmoInr2cYN7kbfzYl9hLaOp8
ambvWdUJ/6/f0yr4NpbyHBGQdgSQ/ZaIwLrPmmRX5NFTJPyDzAE6ewkIr/pYddiEZFtc2yrlu4uh
XKlqoN2Z+PgKp5VeCaNPNo5Ev8A8ciwKXe+0yu4T7qqFEE9drnlUILQMoOQrQ1irjkpkokZRcFAw
x2/wHUoq0932C6egj2gmjwyI8xME+CUuoQGt6OADtAobc7b7jx2lDDyNA7LpIYafz2i2ql1O43YY
5HLX+GZ2mtKMzudAR8tSStVbx2ayFWVev/mf3J3JctxIlkX/pfegOUYHFt2LQEwMMkiKs7SBUaSI
GY55+vo6SMq6JCpTmdXayJqLWpTSgoSHw4f37j23GQs48eQOrfBVHg2rHv2mGDmrlAHBuflg7bSQ
KwJ5Tym3eo0zDA+cGAkhykYXkJJhFetZ8X1zb1ULavbGdcJLyxzITDDqTzDStk3LOb8ghYHmqdGt
7IA1vww50JvedTSbRzMJHtqpuMidwFoVI987MhixSmRWn0bRXLLpF3eixexag9Ug3Kd8TAAcrCEG
gOlUn6VmPTiZaP0Z2ag/lQ1fWk3/yTA7mtp9fj9SDF1Ntp3t6yHU91DRIAyiQKHFCbcl7juEQ7Cg
WVJUcpAFkaSThANS5UgOQll/IjAGHJzj8KT4irHD9ZfoxiYMBqbazPBcXiU2t8tYQY6o4QVsJ/Lt
t2TqtXSZxbHgzrJNuP8cBgj/w9IatI36CioFXZPSrR4jWkjoYIJuR4nlBmCg2gZl5dt9eOFyPLxs
Kq3bjKwdG8hPzlF5Bl7hZOTeHOt1dTETiEW3fEy3wuFy7C4mwhS8bkcbf2sAzF0gQpiPB2e8NWh7
rWSB/nWoSUDF1KieRx7qIGuZrZ2Rr9TQu3IPH77bsd+KCyB/cJ9UWhzyal9MxPA46D+OYqoyQk+7
5JjSg7lvdOXcu6P9haRblO1G0e+izBQP5BO1e3iK2k1Z9vVnNCjhVVu7zpF2GupAFKw75Dv9bgSS
TmcNaD/d63xjUcbBnRAhPq1imDEDp3m0Enoj74RKiaUOW3MrkAwgYqLGh3qnyRfsV9mdNjnJDmBw
P04VR8WQitdzEEbFhqxbVFs1R6GWKzKwTNukVp1wVkpEt3eqwsYa6DiHsm6njx39OS5MpLbx+m5F
Q3j54nPeDIk9rGuyRa5iQbb4bKXlQcqoXxeN8yFaonr6nG98xpCzB72sb0dqKSmIvQ4ncBMfrbGu
T6HwbQBDjVuPF527VF6fKTpUsIJrzpW2mR+9oeOAWxCpY6f6sIZsFp2Wc1/vutFwdnnWYl3MU6gv
KJl2s230+yAd3AOcENLsOlWtzZjTPBewm6ExTBBdie47Y/tCFjxegzT8VMg5O1ZjhBslnl+4jtfX
Hm6ECPC51vmx1pGukdb9mSaaO8OwH/i1DTlf3mnkdCT1RByHG9A9fo0b984YUe3xRdXRhSE0akNF
jXQx7wS1oFwDYpnHADjIRcBfq8qtHamAXlpiWA9dSOeeKVg+LJAloGWLwADkEMhCNIb+lDjFB2oV
xV2pDZ6PJq18ItjcvCZJR1wZVWVuomnxjTpzXF+lhvcZQ4V3TT3O8UEnY4yySiBgRHr7LXhVCkyd
PE8bsqow+qYbxxvTUzQ4lESrwNlUmsp3mhYV9PldopikHh8A9AErsGsF5RnsHCLD+dPQWGIf4vV/
jFQ9rrIkqalwOJ/lqAgXtj1Ce0w93DQ5bNDMJE89xZB37vTctJBzJadMvw+YBwDS1UVYEaZgRudh
XySbWSkyZHqsKSstpaJ6Bj4PsS0U5P7DhC7rpYdKZRy0OZ12/SCJ5TOdWT7qxShQwQ1ytDdw7uNX
xSSTvllOSXlOgteEktCjF5wJrQ42LhmxFlylGpmYY3cEGw/c9OZ2vhUG8tSyz9gdp9Ra0zW5SZyO
NdOrYbwEdCETVx/X7gJ2FYXT+GlT2ndBWpylLeoxMDqHTBIVpsgWYBrq2XwsapINEglmd2XJuQH8
VhDu1MpM3fOL6rs8K9RjuqydusoviIlKt0lRynM78vQt7gLkVxg9C7iqpXlAV2dsZksquHOqCvbw
wPq7oZrmmzToq9s4BX8g0IxsBg13nyhIHZq0hCp7A8Z7D7MKTUMr4w69TjDju5t01sRcsP+iHUdb
PaOSgDQ3aJtYqspaWZGW+FnbBdtKhtTSpyoN1imChW4luw5vuFM12RZtTvnkpHCgl+8kvZWsPxdd
7kIZKWxtoazjT+0Yavec/TtKt7FRXwekRws9vXZcL98Rp4i+jPolSk4RooDvrqyQ+EMqOb3fBD3k
nV67oOCOQAYhUAOLjpQsEv40eyDGPi3RKtA9XoTSgHEs39M04srHdBH7oX892uibID4295Dek2gd
pQRiNHnpPDlcpfZe7xp+DUdxMyAoolfWdtdcKQPe/xxAFzEh4GxK/iqcqmSzc7qxu3GjgUBYBIcv
c2OgeR0JC1PzcN9NhBcN7bCjUquvQFeKqwYr3AaouEDorhFpGePCIIk1g32ZVgfTja8d8LYb1feH
wBIjnDcMVms8d+i/QQUeZZMYn0cFF3GdJySicAafiPXAebGkRpTtGXkp3U5KoIEsXmSpOwl4i24y
ygfKH+WHggTQ63Bw20cYKsklI8+9mNLdVu9reclZbkC1E7o4ARTSqd740kZoJb1ZHwnOwc69El4W
fKYGywmfenl5VpghqjqLNU9AnZJSbpGBg/hHGF6S6qm8tn3FXqqPG6EHs0AnOtJ2zO2CRPvGLL07
9tIOIQ3AMJIipo5rMPb2ej5tvalUHLoFLVVSklYzlMhja6fJXer0wUaP3Oq8CYmGDoidoYoUa58m
fABjFkebLFJ8ejc01/ZQWru81MUlZRHJRzeoR0gNIWBGypEiOmdZD5l7ZWSXCAk3eYQ5m07P6Bc1
dt3S6i+DLFuDqWiQ2SdEHBWA++rytZvru6IdvTukT4RwNuGEYiuEhLuW+vyYF+PD3KBmtiBibSOy
SbUF7OKWbeirKY4PoaImREPnNMxi7b4ZtBgVFLVLyu6pH0dzjD1zXOd5ZG1bxa2rgm+3d4XHZRYN
CYWXqDZPOcGi7I5rTKtb0bIrrhTRe+iEgCEUfu22yQpuC6YKV4tgn9JV0S4UFBK1FVpOHYeKRnRj
StM+49CnTnEHq00bR+WN02NpQIri6OjecmJhfAoeDtldmJCuGoD2ZFRI07kVYVnt6zTkEllzW1Fr
M7Dqg4YNDP+DmAjZcsHIVSFlTTFI55HnmrcIoQlerzp87ebct+ZyY8muAhGCgUHfb75MRsWhF1yt
hwuz0DFjuVV5hw2LxTJFFg/A1AzMV4sUYI5CrkvoIT0EtjfqJQ/2mMpHePfynI6UOmZIBK5pfMpT
x4D5IOwQZrBja1HCqdpCU9VmjfcR6qjiIKPlxalghxPMbQLLqPZTtMOOzLuV9Aq+hwZK7ItVWOYd
Sk9ChERSvqayQMLUek1+SeYJJoKa2FVAs56VvlSaLXAWT+Ne0Bm5ifFJhOs00hr2HeV8woIlL+0y
yT5ncg4WMGp4SW6T9Yimu+d23IX5U2J786HEFN+visGjDJFpXJj8MYev55XKvvEU0ldf5Zb+1JSh
sR9wBOSrxo2cqxTS/+C7VRNeQaGgthtpWwPJ2b1ovPZVFYa6p4kUPOQwUT9qvPsbrWHkE4aT4E9O
kvupiOeHYFLRI/LXRfa1oD6NWnOeqAJbnzKQqj4wdCQEJoGLVsMRHuWU3BRMEcKWLYstRSVI+qbx
FWvL4MNFI6ANZjwIFdfKfQKizXvNzqNTcxTTsR4GcGy6kRID16AfntwYXXeXICbSWmgwqg6eZoos
vAAqqz66RRscZs7aHKpnxPIpB0BME3kDAb23b9m8ii990akrB2/ajmaDZq4Au4Qbjnnk46bap5hy
j1rRh0ftxDK/Bu8HBhxewwU6DpwtLPsVGqwyv6JdBnJihKy+seOMQ0lh5OUNSFn0aOmUuQyOTRHS
gn15RMKZnVrD5J6OQQTK2iKKE807jUGlt0Dw8J4AdiQ+GNCKNwixbtNcHVkw3HKNIci5MvCdqB3X
ZKyIvVFxi1a5ncB8QVjKOduRxrOObvUDBevhiozE6sbupfpiV112BJKXHmbAma+eZbvHAHfUeWhJ
TfMNvTdf7a5VX0gqhbOn9ar7WCA9eUzqupFYN2Tt4OeuMKETCGEFq6kAQMxUJcmYBultY1doxF1l
Aw+1CIW61urWug9lnr8UYX2ve1RFi4YTCRHBIF5lFuojFfcqvZq7YXqCvxoB9qF22nGeQskuKb3P
+6alrGd7fZNvuQYwyF3Zc8DQnHIWhyQixHcdoVuk3zAG8cU0trZa23RdWSPCwt2aYM7OooT9CyKC
3W6HuWLq5AArM98g9nOHmJdGNGBccewrUpZWTAnjQnSSgp1s8RvYjgyfuroM0nVYN4+WPpXJGtBI
dNrntbqO+KLcLbFH1l1Dg3DaiLySLxyNrH6F/2F6TkKki36WlTLZlxLkoU/HGGwjszlpdri8l8pg
3YyOL73C+dQpD2xIyZH/LAzMAVXzsrN5zrAL4Qs2K63QvUMop891jUmAzvEwrrha855wRuIJaCbo
huOjPMXJT2WNPo78GBKk+FKHQ0DJsgWH4UxIRXT9HHwWZuvatWpnZ1qOhcudCjboRbum4WHyD7c6
jAcClydLLzZluFjhOl0Cc4TKS+ms0ZPnoLGyU2nFtuFnYQuHSAoRA0EPqud6khjURgvbak/rZiIm
V4MvO7TOI7QCtg/gvR7coCBP93WWmi9JBidjqq2CC+486bupz4udmfaEkyTttHUymkBMyeJ0COG+
bCTNtCv45ySn1FbHbtIEzfOclGQKloZWPyQyWrB9nCawBb2ave6d2ZrlHRLUVlfDbCLl5bGbw1Q3
9XGaOm1Nr5Y7/gShCWEomsZe33G3URGo46Z8rdwelqKXJfFV5NqXGX3fnRFW4W2U5wRfGthA9glo
hH5L3z7aFo31ZCsxXWtY6Z41h9KOXojzydDVS2ebyZ0po0zsydT2KP5a1SPpr8W5Fir9IiuVdh3C
6PkbIcYif/he8uIJCxUUG7cBt/I9XiBKhcS1ULnLnZ7mKTfmK+DL0WXWliS+0psVl72uJXei79lK
fy6YsP5MLoEEhS6oIQ2EN+/0PbOhYSn2Rnc3OWF76Tllve9rwjjYEimjDgCPAu5kNMZF0r8MM1tK
3XX5tuxTHdBt80wOou27mF/8rBSAnQsaTMXoENbBMZ5+s6GTqwova2XkDmYvdtQZF7OlDoOVzEf8
cqT74OUZbGqDJkqtzO+gqrOucAJmr8dvoLrU2OVjqsEI1V0y81jLurqzOKHYt2PH5cAeJv2qip3n
hHxkX5N9u680FvxEoZ0nBmmRSo2u+TdDZ/woI8TUDqPFxCZPdVC+E7HlTCWGz+K0joaSe4O4sqxx
UuANJmx0SJYGkKQTkefsStNiqm26aetlIPqYTBUCJmiuoSf9POrBKnW5s0k8sz8Vqol8NWr4qjvu
u1nKAdhMgDkn4H9+/u0vQtL3Uw+ohI03n/9Fn7Mo574Ry8TsJWXv1d5O1GXCFcfr58zHrhOdzVp7
DQXFWfdszj7WjuigC9F9oePVndZiUetRcLN1/DtGMwjKHug2fv7X/SjbW3gCZMcYBn5n+71IMFwy
HnXCCRbNOGsoyHCI3+QU/M2v0d+jHkEB8EWieOQVYGnX332PJQ1jqwlKb0f7kyiJ3pDA/oa6W49j
5nw2uMCzRqY47PWAdK6ud65jDqHjmsJ4eoZmx7vMJjdFNsPLUtpFftmaHZTcNJi1jRWL27JNm/uf
D43+fmxYr4Vu2wsF08LDbr6TaS6BYhQkmHt9Y7AozAa5VFJQHEyCFHck15B7L71UIlYfYbfrPv0f
4Ud9Fh0ma3LWiBmmFwLcx/M//q7/N/yNrw+yoFN/AKJCVv03LvWKFPL2Vv3f/qOff9B3hNVn1RXt
wmsNY/VdyJO+qJa/C4b640/6g+76s0/Insid6l6+/Pd/GQZ81UXdt4BVM0Ua8tv/L70TE5SCQN/y
9oM8kV/0zdD81cP//Ll+ZM7++Dnf/eVPL3lcrOOmrePn9lvpOs45g5fwnzz9u8/499NDJAFFIhb0
yP8+5beD4JzASfbYcJeXnx9Wxt9rEACssFD92hjYJ9LGLO+iBn77eT8RPJRoy/L/9q9vM+43mgiI
DFj7F33+L42D4Z4gJUYTjVb6jx9m/LdzQRKHZlv4x/W3cXibe7/TOEDxYgf4pUHQxYkFMYeCHp/0
7dM7J5bgfbP0r4PDVvJ7vQnSE6ax7HC/9Pwshw6Sch3F859OAhwtS1IdM+G3nQSUvn5xEHTrhCOO
ZWC++NNBYFWE4sRR0PxdVwSP8+AvDoJhntimq7M0un86CO4JCCsPz8PX5eC3Wxa5qVn/8HTwl/uj
4ZzY+MAW98HbIPB+fbsqmCecD3RG++tM+O32R+5cPyDo/+KI9JeDoOsnQkcyCZ3y+6d3WRMlNgL7
ba79VlvBn5Pe/uNHlyd88UDm9XeP7p1wEXIXW9zbEsA//17bwVdj469tBsv05uSDK+W7L96VJ7ix
He70bw//nxwL/8Ek+Rre8Jx9ear/518AAAD//w==</cx:binary>
              </cx:geoCache>
            </cx:geography>
          </cx:layoutPr>
          <cx:valueColors>
            <cx:minColor>
              <a:srgbClr val="F8CBAD"/>
            </cx:minColor>
            <cx:midColor>
              <a:srgbClr val="C55A11"/>
            </cx:midColor>
            <cx:maxColor>
              <a:schemeClr val="accent2">
                <a:lumMod val="50000"/>
              </a:schemeClr>
            </cx:maxColor>
          </cx:valueColors>
          <cx:valueColorPositions count="3"/>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defRPr>
                <a:solidFill>
                  <a:schemeClr val="tx1">
                    <a:lumMod val="65000"/>
                    <a:lumOff val="35000"/>
                  </a:schemeClr>
                </a:solidFill>
              </a:defRPr>
            </a:pPr>
            <a:r>
              <a:rPr lang="en-US" sz="1400" b="0" i="0" kern="1200" spc="0" baseline="0">
                <a:solidFill>
                  <a:schemeClr val="tx1">
                    <a:lumMod val="65000"/>
                    <a:lumOff val="35000"/>
                  </a:schemeClr>
                </a:solidFill>
                <a:effectLst/>
              </a:rPr>
              <a:t>StateWise</a:t>
            </a:r>
            <a:r>
              <a:rPr lang="en-US" sz="1400" b="1" i="0" baseline="0">
                <a:solidFill>
                  <a:schemeClr val="tx1">
                    <a:lumMod val="65000"/>
                    <a:lumOff val="35000"/>
                  </a:schemeClr>
                </a:solidFill>
                <a:effectLst/>
              </a:rPr>
              <a:t> </a:t>
            </a:r>
            <a:r>
              <a:rPr lang="en-US" sz="1400" b="0" i="0" kern="1200" spc="0" baseline="0">
                <a:solidFill>
                  <a:schemeClr val="tx1">
                    <a:lumMod val="65000"/>
                    <a:lumOff val="35000"/>
                  </a:schemeClr>
                </a:solidFill>
                <a:effectLst/>
              </a:rPr>
              <a:t>Coffee</a:t>
            </a:r>
            <a:r>
              <a:rPr lang="en-US" sz="1400" b="1" i="0" baseline="0">
                <a:solidFill>
                  <a:schemeClr val="tx1">
                    <a:lumMod val="65000"/>
                    <a:lumOff val="35000"/>
                  </a:schemeClr>
                </a:solidFill>
                <a:effectLst/>
              </a:rPr>
              <a:t> </a:t>
            </a:r>
            <a:r>
              <a:rPr lang="en-US" sz="1600" b="0" i="0" kern="1200" spc="0" baseline="0">
                <a:solidFill>
                  <a:schemeClr val="tx1">
                    <a:lumMod val="65000"/>
                    <a:lumOff val="35000"/>
                  </a:schemeClr>
                </a:solidFill>
                <a:effectLst/>
              </a:rPr>
              <a:t>Expenses</a:t>
            </a:r>
            <a:endParaRPr lang="en-US" sz="1600">
              <a:solidFill>
                <a:schemeClr val="tx1">
                  <a:lumMod val="65000"/>
                  <a:lumOff val="35000"/>
                </a:schemeClr>
              </a:solidFill>
              <a:effectLst/>
            </a:endParaRPr>
          </a:p>
        </cx:rich>
      </cx:tx>
    </cx:title>
    <cx:plotArea>
      <cx:plotAreaRegion>
        <cx:plotSurface>
          <cx:spPr>
            <a:ln>
              <a:noFill/>
            </a:ln>
          </cx:spPr>
        </cx:plotSurface>
        <cx:series layoutId="regionMap" uniqueId="{64F3B93B-9E20-4312-8470-6567DDCDFC3B}">
          <cx:tx>
            <cx:txData>
              <cx:f>_xlchart.v5.5</cx:f>
              <cx:v>Expenses</cx:v>
            </cx:txData>
          </cx:tx>
          <cx:spPr>
            <a:ln>
              <a:noFill/>
            </a:ln>
          </cx:spPr>
          <cx:dataId val="0"/>
          <cx:layoutPr>
            <cx:regionLabelLayout val="bestFitOnly"/>
            <cx:geography viewedRegionType="dataOnly" cultureLanguage="en-US" cultureRegion="US" attribution="Powered by Bing">
              <cx:geoCache provider="{E9337A44-BEBE-4D9F-B70C-5C5E7DAFC167}">
                <cx:binary>1Hxpc9w4k+Zf6fDnpRr3MTE9EUOyVKXTsizbbX9hqCUZBMEDJHj/+k21j1euke1+a3s3thWOsFRV
BBKZeDKfPKT/vJv/4658uO1+mauyDv9xN//2Iu97/x+//hru8ofqNhxV9q5rQvOxP7prql+bjx/t
3cOv993tZGvzK0GY/XqX33b9w/ziv/4TVjMPzXlzd9vbpn41PHTL9UMYyj784L1n3/rlrhnq/vFx
Ayv99uKkvre3L355qHvbLzeLf/jtxTefePHLr/vr/I89fylBrH64h2cJOaKcMI2pevFL2dTm8+tS
H1FBJVIcffrCX/a8vK3guZ+K8acQt/f33UMIv3z+/+tj30j89VUbmuTTYZPmUbaTyz8P8+u3yvyv
/9x7AY6398oTfe/r4mdvgaiVrVMb+s7e9fi3F/9d3+fd7S9X3e39Q8i/KOGT4r/57L+peMyPJOcc
K430p699/WvBGeaafXqXftn6k/7/uljPG2L/+W+OAqe+evGdi/f/pZGub4vb0Oe39Rcl/Z/bh4gj
rhhlSqhPACDf2oceATSwFop+sg//svUn+/wliZ43zZNH96xyffqPssrF7X2+/F+ADqFHnCoM8Pls
GvBNT12XOiJKaUEpfhY6f12s5+2z//yekS7+WdBJH8rcfrm7fwNs1JFglGokxNe48dQ28ghjzqTi
n20jvmz9CTY/leZ5k3x+bM8S6fk/Ci5nD91tuRfavznRvxth0BFjWkkp2bf4EEcMKSIY/mwi8Gyf
6MQnG/xcjueN8OW5b2T+7cXZP8sK26G47W77Lyr5GxBBjoQmAktGnkUEPuJaIgGw+OSt9hDxF+R5
3hxfH9yzx/afFkSAVN+GvO/+TmjoI8YJUpTrZ20ijjBSmgIvfja4X9z+JZmet8s3D+/Z5mL3z/JY
t11929+6v9My7EhixAj7DlrAMkJqzCHE/Pm1R4vP/opEz9vlyaN7Vjn773+UVW5uK1v+cnl7P/x9
TgzjI4QFRkjtpYkKYolEBHH5ZbNPQeSvCfG8JZ4+u2eKG0gJ/0HJ481DeVub2/rvBIg8AtYruMZ7
ltBHCGnFNP/stODtp1H9L4nyHXv86xT75tj+o8zx7iH0v8QPYJHyi3L+hvj+mAlCoo4kQOAJ1VXy
SEsiNPvsqfRehvgXhXneJN88vGeUd/H/W6N8v/jytfCUQpTY/FmxelJ/+fG7f54bamh7j35T+Prm
4F8senL/2wuGgd8+ocuPi3yDhm+C8CeYPHnuAYoJv71Q6EgjAgRB6MdEUyr84pcJbtBvLyRQOo7B
G2KuhMYMwV510/X5n/U0ROAFpSihWjIBD4VmeHwLKj4Cc2B5ghIiKFbsa6HwqikX09RfNfL551/q
obpqbN0HeBpx4On+0wcfZYW1mWJMYkqpElB+lCCFv7u9hnLk4+f/FxkWNfckmjdL78m4E5bbdB6D
6OM1Zx+N6/WQ9JXUNJ31uHaxMmNbx9ggfKYjGdmNkoWKXR1483u1gFu5HAf0+Ik6kDvaQjhI7UpP
5MxQFXcym3FcStPlcRYVpX/FO2vfRYxb8xotbGpetaQuQ2oL27ukYfU0xl0tMpKycuq6tMi9VnG/
CudiMYbMxroi1RRrUjVTvNDMyaThtbmqe4M/4qJhm2IWRCetG/RJ69romrg8IpeDW8cqxfnEuI8t
bt3LqfPTOWrLaox5iQIcoJtO+x5xlXa8GbPLrFqkjWtlkbtWjvxejOuCt1OE5iFuJbFFMmViiWeb
2y5e544V52ykOCS1CnmVEDebLm3GwIqkNUV+w1RUieMObgRKF9LJNZnGwhYvA0VoY+xM3og20PMI
0cUcr0GN5S5SZnKn3eyHPBYmiCYWkiEfL0GXIZ4LxV6RHrsl8YgNccR5nvaFMvHkDXkpy9Cc407l
r2Zs/PuAozve9WsRh9k1Q+p0xTdCT6GPm0GoWLPSvoPVxLEZTXeV8Ug1J7z0UxmvdbmqY4EMu3aL
WM1FbbIpS0Q5MB3PUaDhpF7WaD6eGtEUcSYQXy9YL7vo1EjsRYKmlUW7juviXafWadgO3mTjRdbN
i064tYGkaiL8qp5nPCVWZaE+V6hvXDzqsq/jZvR4x3vNqiQs1ukTxFzuz9xcWRcrQYdxw+up3pFZ
9X2KaUOajVkJfN+PdFniQHObHS/OjeUJWpqwbPJKE7zJpRckZsbPNyHPo3JXzJT94UXWvqnyBiXC
dN19EzI8n8KtY0WMqmzpNmPX93PKcaPjvEPDiSlDb+J2lWuXoEiNVRypTJwWBaJ/eI2HeZfjQVWb
fDZhTFtNwGJLZ5pTOvV+jK3v3DmUlvNXnZVXsnbiTQjDXCd91kYnZsD5qZomieKAK/9O1QW+joY8
fFj1Is40d7uxIX0bO9iavM66kedxU9qe3NjOSBFj5Jo2GZBfXtuarvdVXq0XI0fdlJRDk+OX3WBk
G8+NI9OG1Ksfdysy1YUudNfvZta4NkXFWL3vo7V9qQuJ2rTTfvFphrRrkohTdtMuuWcxIpVoYxUp
2m+cq/k56+ucp94sVsbFEhl8NlDwCXEwFbvoPB5YOuXNUsa0qOyHXjdk3siFwW3HJloT7Bei0qbN
o5gplL2N1jLbrnJ0STU39X3poyEuu9wem4zN7/QIsGtDoeQWt131fikN4Mbr0L80De8SxqrmrEbl
eBOMKPK4XErwBaWeTy1j9KrTfO5ipmmxG8am2tQWl1VcoJFUuxa17A2uXDgLy2Q+cEdyvVn7vsxe
udnKKZY0H7OtXtrpeCAm/2P2UbvERa7IGK8ID3A9yvbGCkRP5lUyG7OybqI4FxONWSZFee953p3S
btU0yWa1vh2wqe/asRn18VjS2WxziDg+rZw0iSynccNGM13mbROdZIzQIh5NU06v/WSzLsn5MrM0
L+sxJJ2uWnwqSOZPR+HLYTsvFJM4rMgXqaNMuGTN4K4mHLXh3Vgs8mU9kibR0kYfsMlk/UYVIULp
NANQYu00SrOo4TyVEAbVXRUtNC7B6W95N8H1zN+tNkJ/9EOJN4o0xYZZ1x3rIW/TPCgRgQuvaNpg
C1syY9udYIEDRjXV4Pad6U/bZdH1TTMPlCWY+XUzsja7rpYI3ZjFgUYFmeS4qTm206ZkRfEKDZlk
8YDImMdKchadsZUUt2LMmnFnLBrcBaPZmigDLicpMK02nlgk4nXohqvMOnODFbi5dDQz7sFfWN2k
mLdwEzWvoyKejJ7e6GVtV/BX2GZxAM3bzeqZeFXObUSScqmrNrFD7X0qlhEEITz317YlEQSAVTZ5
knsr2iSPgEGcWEVYCaqwYlODN9MJlnY+c71FO7jMa3Qy1NiczHPjbTICPwg7EtkuO+5brnd1Wdh7
Mev2XT10zato7G0Vz61d7xyLyi5uJCcc4sOgmhS26KtkHIr1BNfMuV3gpR5ia5d2SSqxEhYr9aiE
mgwxmlxVXAW3LkAQOkpvVbtCoFN17W+WRoWLBvmJpcLNLsTMgWvVAzQ74lGa6nIWjb2mKh/fTkuj
T91iND1GUbReFxVSU2zUEMYLp9flZlyR6tKpcBCOjOtav5vFoB7kxJZdRQ2+zKacN3ETTU0ZN6ub
2riezNqkapQqxnbOs5dsKeZlx4bC66tFiXGMo0nmFxHt9HvBF/6qINFZSws7x7KvrodK2zNcrH2e
ZjW2WwpOLs3MGO0KW6JYDfMfhS/HxHrwmQQFRz/wrlJlYsiq3vV2oB+DH7M4Z3Nz66IV50nTju4E
zZOLwceYGFlTvF5YMSTlNBQmXbqqSMaZ2OuoreUpbiEn3o60FnFlRJ6WZdHFHhtjkzZb8nhYjS5j
1uYkkS138Syz9TRq16yLkSHimpVR5T7kuDfnYnRTIpp83c0VGjT4OJvHuZ8oTkoQeluYZlKxwqTf
9rmZzqJ8MixBYuo3tbSL3ODCysuxjbq7sWTmnk0if5+H5SbCEFhjUhhmEzl2zbGdPUurXKAVqIf0
Ju7AF3XAvFYynrC6F3+0Ue7RFtcliU7HojjBbOFb0mXqFSNrFXNn8U0pqP/AcR6aS1q040ehZD0B
N3Ckein6vCvTvJgicczJ6hKyKF9tEJ4avGuYm/8wxOj7idV2fNtkU223osHNfcsp6l5NGZFyQwos
9SmrkOnPrcagRmP0sMRszPw9NeXYAr0h+XiSoZIJiM6OLHGJm0qf1jUdX7dIrWNqXVS9nnRo6Ekz
i2q9pl17PQbvmlPeteMSUz0trxZJa5TQNb/A/Wx3li8BJfnc9dsuh5DVl33lE8nyuUlImwFMgIj3
V3bt8pNKGXVaF5HdZXqiLxFj+RRX/dRs+nkekqzx5Uaj0kAsBw5y3zE6v+G1zDeDnEgqG0OARTfq
bRTV2RJPC1L9iapLUd8uda/9Fhytvllswe6HsaU+NqyrXw46tG+HuRRJQZcJn1K3lOeBNLJMytbg
dwQx/FYAV7sMPTdbXY6GpU3ViWrLK8HKDSIzjefF+zahzrM7CJBlCiFLuSRSEX3XZ+GWdG2WJ/NY
lmtsiPMfvWvbd9hyH8VY5zJKeDYA4YjsUr9tzWBupsYpD9xN5TECvvh6asuZK7jJLfl9nVib6HYt
p7ueVXXMIgbeOLObGTj5LZ5XkQxL/rpwBJ9EhILn72dO9WlLocO3Qyse13OHS7ccw9jGUFzaZqQk
1VMkizhiA7U74oNYj+G7SoLPk2OeIFwrc2zbwR8H2dL5bFhVfxPaUPPEEkNe28JhmxIGoTxfnL/u
lmCu4e6vu3VcCY6dgjCf1uswXFllWaID9WeoDPSYRMAKbMkemBAkJL7uKPBGVfCTUIQlf1e1Ph8T
TXyWx5XvgBGuFOELT9vhik1zGlWFj+dhsJtW5PMpqnSzoUiEZAzjBzdMtj0ewuqyJC9lp2Oac37Z
zrq/nqJs3RpC7O8edHtS13PnEipq1+xspCORuopZu0Eipy5hYxS9z3sxRKdF5GsdD7SSbyY6CpTW
BcM0qbqxuUOlknOcQaC9NOwxOWtkcA1Ebz2/tsuclceN1QWYkK/vqc2nDwSkEGkx5QgnCvTtU0Z9
2DLazR9aYnoE6ZhjL21O0Q0QXPCwxToCWR+6/DSjzfxQZe1yLBZZnnQ4W+1u1A27gKRBZadt4ckf
ReNpWmJIZ1IgGatM8lUPXbK6ef4wkyXzMamhcgxWzDZV2VqfaLBYH0tHXbEBMOM2nlY3/gHwFefB
lb2Pc4wguo+sNrssz0ufjnl5PKFW0njJePWSICBDm6xFFp8GnWfiGDJiRFNjowKyKkhvRAJJ7rrV
zJEPvIcAlqz9APkrM4iZeBlK4SBR0mJ502UBs13UU10c21Dn92Pb8ZMxH/D7aq5VGnLe7ZwHN78S
2tmYLwJ8jeubTVf3Lq24MkVMKkjTk2UeiiauiAgfWNRmL40c+VbgLn/bWVWq1Cw+d8dZUYpXa9c3
4bRtSIbSoDORxZmpxUZVsy7iYTIFEEpigNfwvJ5fKq90npje6nurqXpNg3mTa92VMS+Ejpu6qeDq
rvKYSou2yiF1ugQ8xYq19Ymfrb+SY4tS3wnRbSA2l+VmsUO47rIJx7Qb5JLa2oa7os9Ff6yJ7rud
7OvyMWXv732/ji/nrmgwnA1JF/PGGAjS84JuWT+htAQ7fGSOrddjDgEe2Kg4Z0MuXhXesLjKs+mi
GdczIzXv45I3fknaatw5Ju7CAITHCSNjS+rpbMohSyIt2oaiBMY7CvpuXfN7uG4z6NjyeBD2vhxt
dRIyWqWlVaDvAhjyjMUlqyJ/WvEAAo2Nv1IQho9t35kPwCmqJgbnJ14zd4sI5xsL9wiIfk1Tu/B6
g1nDT1yN/OvM92jbqbFLwHGmTRPoFtta3g9lhHcZ6tgJ9W631oqYWAyuSP3s6+Oi6ujrDuPlTK4K
/aE7Vp+JkUy3Q+ezlGWuqo51v6B5V7pGmA04yeluHcQwxbXDbRIyrk571wLpagmcPRmnqL3lTqhl
s4qWny8D7XbNDJzewQjYtij8tPPZAun+6N3VpOhyCaNJvIv5VC7n0zwCK1RTvz4sRXAFFIxqn3BW
qZuFC3G+EF8kItQMcuJSJZN3KCXA5B/KaO62Xd/+GUx+b3UYcLw2fLgIApxoL4qmSDzlPNtWjTa7
Hi/btlRuW/f5HGPqofjhhO/fAN1toUCxBJ/Mf+YcszdpG7j7qGiuT3jXrNfTUqzvcWnEdd0swxyj
vAhJS9gS4hoNOLEc3CVUbra8KU8mYvw2L7F4OTiG4UCzihLCmxrITlSxYzo0WWJkz8/HEvLTQbL2
96lDZxIvtYuhFcKvS836XVt186sSMSgcobxSiavd721J0e8ZqnxaDl13OdEJb1i9kGPPH8tnYUp9
zXACjIZf5S0XGy6tPfWIxC1dhh2d5aUCmpewVrKzhRMMREqvKeG03dSk55Ajj/a8CybajBCMj4VG
QO+Eqc7BURUbgIx6V0ett7Hp2japKbExweZmKaUetxaN840QczieQtPD/dADf6mMVCI2hVgupjKa
NuBxl7ihdXm89KY9XVfjydmMC99voJp2smR5eB8VCt1w0fYR5CpreLOOGtiecfRdOxdoKyuHwKor
2nkB9u9q029kKAtz2s4T0JApn9IRpuOA56xO/jHX5a2I4CBzg6Fe0K/Vw7jIbAv+oblu12kCOpRF
lyVt1YZl07u+gMA64KpOTZn7ZstnPiZFOV/nTSkvPc8qHPeQDvSxziG9ibOJ2zPkuvpEok49oJ5e
RRnQ7jBHKxCybLkSbBGbOeqXBIcyih8LJ8UcNdt8LvoTMa9Qm1qaVbwVpOLvuYsSFHKIJGawZ7Lt
/XaBfGMTLUBsL7OZL3+stqRvnJvRx6kbIsgHNL8aVrstBF/7Sx8tbrrIR58Dp47yXbWWdy3HJGwi
GuYdUO/lY66K6soFTnbtOLabDlX98gq5LGbDUh+PqsdZvCwhBya1ckOADsuoTVxh1ylRkLS8QrSi
S8xrDEEPOgYwNfq5kP9NMfoOHGhnTf55cPXrj/9101Tw789n/vXi49zrv366+DIw+8NPbR+ax5Zh
2P/QozRf1/rXjOdjKf+rqHvNgU8jtt/pHPzwzW/aCt80GJ+2FTCGdvPX8dr/0VT4Zib2sUT/5+c/
NRO0PGIYS3BnUIWBDrbQX5oJQh1hDeNQCsEwgiKIQsfgczOB8qM/ZwwRlDmoZvzxrc/NBHEkBYIX
lSQSBnm0Jv9OMwEGgp50EiICzQMmIclC33YQQjZnjbNAtHOcav4yjDA78vX8zzQpnl+XaDjs086E
JnYUoZzlpud5mcfruizvciLmTwO/n+Z9/43lodX5dPlCRm6Z5lpu8q7tuutJQP5/Y+a1+fhj8R8b
KP9qsHxRC9HQ2Hu6vq5WpwaXiY0mPKyvPK40inNacBwj6IVAmZm2fXb8482+p6u9Lk4QSBTTI1+b
A1U0VogaqPosQn348fqPQj93GGhDPj2M1C0UB6G8vBmwZxcYTwwyY1QgiNyqr+dtJFfRxdXS+usf
b/i9Az2+/qQt5RXyo3zccCy1nE+bfMiGhIUBXNWPN3i8Rc+dCED5dAMFLg71A+WbyQU5nQroHZHE
u0Dyc+7yglzgwQ0OysdtvUBOWDLcHqM6H7vdj/fHj/B4ToDHxtzTE8oqOB4WvhkMtNQSRdRWUgyJ
Mm2hgNSaCdoGwyKj82Yy2G0G0jSqjiOjSAXDcocADBzDUwlKs1RjySdQgSI8oV3zUfLJ/uR83zPg
nldoAKmTWnq+gfgif0fN0sQZFB1fHiS62vMNpSqsCLTjG0etfUDwGxfndWTdkBy2/J5vgDIj9y2k
zZuyl+NbPLUsnrNVHuZ51J5n6Mqp8J60fNM30bpu0ByNXSp808gDxd/zBmQ2WC1lAd6ggXJosgBZ
Y3HbApTSw/Sz5w4ItG7qJvhoC0RZiqtgYfTubdX30cfD1t9Df1BogISaq+3a4GqzGBZ10Fd1ofuJ
gh7lfAZ7ag/8unGsHKAUsG0itVbHU4f9uCmnBQo6rc2ZPnCbPYhT1mRq8pHc9v1A+l0tmhpt1hqX
88bbfpoPg9rjiMFTHLfN2GZ0rtTWE7feuG7JX9ZS6Jsf2+J7utoD8gSJDZ6AdkBaM9tNGTpJzw1b
mvad48rNP1HVd9yF3AN0rox3Snq17Uq2nETVil5qg6Ge8ONDfG/5fUBndkGgHLEdZEsgsytm9l6s
jf9JMPne8nuIHkbZSAXT7NuxBAv0pak2bIikP1D6PTwPltZLuRRqy8LowAYwshHFAS12PXCDPTw7
HfFWz6B9javHAg2G7vmmK+Q6XR2m/0fFPQl2kiwU5g1msdWQbLyVKoSr2RroiP54+UdFPINnuYfn
So8TL6Brva3KAJ1BWVXt8Ja2q0anfZRr+QoGZ6g4+fFm3zM22TsL9MFg3ofLraest7t+pTP0/V01
ocPwLPfwPEMnTvQwELJ1wXh2EioyqrgYWPez2Px4659T1x6kF1MYVE1wn6DP5GGoxlApr6poHcWp
6bPKbWZDlvr3slL0w1Cbqf6J5r7HeR7zl6fXoJyhe9ysE/jdUpX+NI9CJoHZOw20TvVTwfq47qHc
m9hc+OrYzauRqWATbV6PCErRhylY7HmDJRORVC6CmpGMhpTaSW6VLOlPLiN+tNMz6hV73oCP0Adq
Sau3FK1ds1lxNvYbnq1rufOayuWlCVXz0UdsqnZsVTW/nCkl9QWRShW/Qy+K85+I8p2rKvYcB4yG
cN9Mlm29zAJNxKof/DxD7fkgJIg9t1F2VOBlLuS2i/y0NT2GDrahytwftvye0xhwJ1QBrcctjBmo
9xxC6WVAUXWYzxZ7PqOlBjpvkdRbXkImkwxYVWs8WGjj/OSWfQdlYs9PBNtC6W3u1LZfoCt5oljX
IZgDwYC4nOSoiWs7+Comq/DmzldrIAeaZc9/0KmGCijpxFaorBpiDwXcCjoMLDowXIg9/7FCva0d
RCc3AxScNjDcYNJVNFF6kNn5npMQmUZ10c7rNgym3641NOlE54uf+KDvQILvYR/mEfNohtCwLYiF
obweFylUrclhl+pxoP2pg4Osp1HYNuuWQN4IBWT8roam62F25XtoxgKqvnNpoIUnl/4CKngIuECb
4+LA9ffgnBdD72m3rNsoq/QJGWeXZlSx7WFm3UMz9SP3vYPV+4ywZKIyxKHC9kDZ6beKVzUMZYwS
zBr1JE8cTADGwkEj+DDZ96BcoKhDUxbWbYtteRx0bWAGh63HP179Ub/PxAu+h9c64/m64miCWVL+
AGmnG49Z73y97ScYPfnxHt+79nuQpaMc68Jl05YCcK91D2NY0GJyh6XjbA+yfQ1UaFrFtG0YFydK
8yEtlvpAd8P2IIv7qszUWgxbE0p2ZstKXvi5PFD0PcRCoM6cw7Tftk2R4aTj0JGX+ezyw7wZ2wMt
z0yA4SAo8/jazqeuh4mUIcvKw0DF9iAL9dFoxEPRH8PM5hRe0wmp8iXvlMgPuzdsD7Uw4jC2ZoQp
zNkMa+I8f79oaB0cdCnZHmh5ETmmVDZu2jKHtm8YoIGlYRbtsNX3QEt9wUhWqBE0H73vCPC7Ws/Z
gWbdw6zzaxdFQXwWnZGWxHwUh4q+j1auskHleNzoCYrG5HF1GKg4cHW6h1aHRp+VAVafC2jiD8oN
MQyiFIep/fFPgjwNgTnjqoHf9YLVGXloLSuPjTUHVrboHlphwLtU1sDieh2qLbQjO8i8xHwYN6B7
WJ17mEUuFwfD4302xTMeSYx91h8WougeVqvck7qhaNjU41rHU24foCmND9T6Hk4DjG/4Jp+GTeVy
FgvG30djIAcuvodTlPGOLnkE7dcW1WmY7W0Y1nDg4uTb+9IGPRfAhIcNDI5A3xaGL+OhI/LA1fdw
KmkRwQyOBtH1gC8CtEeuMmnKw1pUdA+n88BglAhW3q4Y/uoP/F6EEjyN+kiFw+4M2YMqgbGtCnry
43aBubcujqjnWz+R/u4gF0n2sApzy6Rr5goiaxbKU10EnMJwxrI5bPU9sA5d5qlZ+LDtNf2AC/Iq
MPrqsKX3kRqWolqWqP/fnH3Zkpw4tO0XEaEBJHiFzKRmu1zl8YWw3d1MEoOEAPH1d2XfOBFdHHc7
Dq89KFVCW3traw15XQVPOB6/eiYP9grZLk6TGqA02skpB0YtPrkqeu3boj/4QXdx2rU2MEnsXB7U
U52pRj5IoIuObXa2i1M8Cy+DBQ7l3Kn1j9oDyxnp+2MLvovSuF7KAPna5xgWDKGN2UqAdsTLY0cv
28XpXEauakOAZkHYJl9CAHvq1NYbPVZpsF2gulExooreAU9itlO/yh9VPRTHlp3ugrSI61HOtXF5
5A0g9Bq4Gdv+7uX1ujF+cTm4Enb/mU6TToT1EOgpB3UweYxtSR9VUAyfD31WugtRNrHJgGmE7VgB
bMr18kXG9bFPSncxuoV90hRV63ITzTyl8fpVjfH7Y/PexWi4hOtSc4wdNPYVYJbHKLSPx4beRWi/
FEU5cWCNSBEEWdAUD/VGDvYHrlCQf35NSodBbgELzoIk78An/Bobr44dLXQXokGFOt30WBNVdc89
oIaFro6d5H93Ov/Rvg+HxfMVDfxzv803ZmH3YXQsg/7dKf7HyIOPJtEPuNsJXT7E/Zp3pjj2zEp2
YVmraa2cw6QHDWiZyxr56dAOIbuQVEljhq3FRwyr9odZk+d4E8fOKbKLRwcCyeoX4Hm9bejr5ieW
N47b07GJ7yKSd8CXNnUy5TYAlIB17U1SJF+Ojb2LyFbVNoIoR3AGyhkwBSK+gzl3MLGRXUxiY4+j
IkjJVS3WNLJhcEoSOR8LHLILytjOcgqjOQCc/sWAUoQu9rE12UVkVVYj6Dt+yt2VA7pwO6R0FK/H
Bt9lzAXvXd53hT3TarhZFN72wW2aDu6UXb40zpE2UBg8VtF77oafdejNoVWBhNfbMxAQNU/GOLFn
o/n7CGOvbj469i406VJLzsHYywGNJw8OSPi7MVzFoVWhe0hXZcNZoZ7FRok2UAVJ81GJ6lCBBU3A
t6uyJi5c2gSRv3I/NRkJC9GfGCqg+tDRArTg2x8YFh0WeKuZctA0vgfL/BmPDx+PbEWa7MJz5mBe
CY51ca6MTqNra5CcmDxUR9BkF56mmiX60Ssmvq7vXU/u1nk8FqEUAMg3+bjRkoSy4hYUBf6oADiE
nIFkB1d8F6GuNMBcunnKyaCewcPMGlMdKlJoso/PKOh8ybXNGYtYtmgKdkDY/HXoc+7BVR4vCjbW
kwWaQXwtLejQMno5NvQuPsGKK9qYBSb3VC2p6uV46cBmOlSm0D2wqo+WLpmBFcrxhLSBetU/SW5/
hzG4bub/XYjTeBegbmC2rehi8h5YG5VaZ4L7YCb+w7GV2YXnEnCciqHDF539HxYV3GrjH8eG3oXn
hMRTDaK3OWgtH9ZhuCVaH9uHeyDVXMStaFRo8m0eq/O8lOwUqO7nsXnvgrPewsIaEIvzpBqyNvRP
Ov5d2Xld1V99zF1oLgH6wfMgTV7pOXLQJRHN4yjAZl8aKKJkx+a/C9Ko7VZQ6yKTq5p/U1X4ORja
10ND7+FSKxCPSsjCIP5nezNbQ1M6h8ee6qjcRWnJqqg2nGHiIf2s5+DKuBw+HZv5rsKt1nFoDals
HrE6XM4bdz6EqIqq2tOxH9jFaViV4JXHCltyDZ5rDdWL8dhdHNqxb7OFqqMRF2YMXfjkeSL1u4KL
Q89Q0HncDR37QoNSbHJeaJZDuGN6puVSH0L6gkHwdnQmZxLNoC/lBdl86s2Y8/AgOo3KXZjqtQim
1VYm7+aBpGSWl3Epj3WH6R4LNZnQQVQGS47j8X727F5F68EY2oVnspTKNWNpcgmmYyo3f59AcyU9
tAv3SKcEu4SsrDU57ef3nI4PhkzH5r1HL5karxMCbLzcivhzTc2zasdDlziIJL7dJ8Ua6rYcGpML
rEyaAISejh6ktGNrsovMCVT/oOmTEe821ZgZ1j67IPl4bOxdaBKCe1YHwZK8rLmGPAcaFWdHAnFw
YXbh2TQJUGmNR9wkXmexE+KDqsl28IvuwnNuIlEAazfmW2IYyGPhEzLpsddzuochuaCL+2jtsV36
JCQtzlrfWqiiJHN7qIcDhce3uwZYYJKUa4e1L6tFgi4I2E5RhOOxdwQIDr8d37fOxUYXQx4Hth3B
RB30Xy6Ry8FL4x5wRMEhDpckGCDY4O0JWhxgc4JkfTm0M/eAIynXNSYzGXJQvBk0NwBihyzBwfNx
DziaFBB4lndDbkNZTindWPu99WtXHjvH9pijtTbCLCvWpq/AJIdyzEdQfo/lvGgXs4r1iw6kw7p3
8XAD2QwwSlVf3Rxb913IzhxKX4Nahrwpou0z6YvyBpLiQ3twYXYxy3FORszjsyZdMdqLhOxNmEZF
D72rY/Nnb3c9HuPavhtmrDy3y60x8cdqVMd683QPOZKtZsAYmyGX4fRSl/Z5aaeXY/PeRWtZ+IUr
aJbksku+dT34/BXUtI4tyh5oNKJlHgdODzk3TfxN4lHhxrVg7h+a+h5oNJFg9RuP+hyRmqQC0Jc0
8IE8Hxt9l1yND/BGD7GBPJq9SyM63LXd71BM8rq6v7jQ7GFGY70CXgd1rXwWbQl+r+4aHDaQkAJj
XSdle6MHv7w4bdUttzwQ0AECc/wVFDc5vocerDUvidTipsW7ZH/TtB1kcaSCwNRTuY4xWdItbEbz
cYF6lcuIH7v2ew+FPHDqUVgySGOh136Wg1sdpDfQJcsEXqnXWzcGcZMzuVbhbdE3C6jRBN2ELwGQ
vf5CeWPlicsVYy5QqNsu5ZhUFmw7trmLZmzdTnbWvPu2yjAs3k+hCJofFjpcYx5vDFx0s+LvPUEP
IjpDmC2Ks04y2mZQByndTUn7MnkQcQdeGBk39sLiZIGKhTC3Q23NlpM+if1l0WoOT7MJy+g8Q3EK
LWxVzWFWqgEiDWROEp/FpuYy1X1t6P3SFU1yqzidwhxClODZR7ydb7ct0E+mm0l4Csk8b2lTmGJ7
URChlMeqkD3aS6+hE63jfS6iqkfXJ0hZCVmFY9tzd17ysPAoJBVEDYT+swjbl0LWB+e9OytnvMSs
imHekStySFXeFRE91hwMd6dkNAOZQtFBysEfhgxNkEB7C0JOB9dkV9kYUnLR4tEOojnQP1nb8S/R
mGNFX7g7JxvQW+dOkj533g1PYIPVNz2f9LGjbI/xqgQ07jrovuSlacOHEPUrkP9u+npor+wxXkaX
8zwPc5+3cek+GYjCoZnfxdOxZd+jvMaunkATSfo8QVM5jVjzUG3lMaYZ3YO8CEI4CmMIPvh+KPSp
J0uTrxDuOXjL2cO8KGQit4BjR0JPI1rPzHZuS2UQQTXz2OLvAnXS41IE1dTneKj6axnCuyiwxxgd
lO8idXCLmUcvoVlBEuDIJitXlUGIiP11bO67cJ2jceOzY0OuxmSLU9mPHG/sMWPHsBj0Knbwzwf2
ZegUJdClBPeGQgBSLs25ruuDBcIe7zXIpWi2EikcbzQG+itUZEOwkPzQ4uzBXgsBVTqqux6sWqXu
BJ8hTiRGI47h++ke7WWbrgSQqccx3Dl5V3WcfMOd1h9rBbNdeSNXPW7aol5FK2uFBGnhckkmeWzT
X4W5//ldGVcuqa/Zqal1mdllLFM3aX3swNlDvqihK/R14z4PfMf/rIA2/3PTTh9DflK2i9iI8a6p
mnbIIyHn4LZNOpqRYlmi37wd/guvju6BX+C2FoVQcZdvinLzOrT13GcQamXDCRo9wSsIZ09BkKjm
hCoO2qIQQ1TiUkEguj/49XeBDVKwIK5B/bn4sYozSNSV0IOoukEdu0bvAWIQyt1wZ7meTAVUa+41
tDVlDsnSiWTHom+XjzfiDOi1rMthCQalnnVpljBt2nA+WGDtYWLCbtp0DD/gHQNseXOfgd7/eWjy
e5QYNCY9hNq3Lh9MZ7O15H9tU3R04rvILseNWttKnaO2vSjW3jFmj7UA9hgxHQSkXKAgkk8hlInb
IMRTw7J9OLYou/7CVClT0mXuckhNxmdXQSBNR/XBVEl3Qb1IOG12+KJ5bdbgh24W/tMESDfH5r5L
xLYJO6jfU52j1nqS0KqDNudvtFyuE/zFVXGPEytXvDMK03e5XVl1R5WJU7iGLseS2B4qtrSijueW
65y3cV+mTRyPd5V0XXUsTPeAsTBZeyhWEp3LqIOOchJDtY/6Y3lgDxkzQ1eWRVJ3kGmslgdrdJjJ
qZmf//ubXvfdLxZ+jxtLltbPC0V+V1s4ouQntkzOitC+h0Ik77tjNdYeQxZ7UUACv+xz4vhVujKa
IGPXBgQK1v/9d/zLBroaV/wzF+ugtuOc1NibEXtxE/lQ0uLYtie7kIWSxRQTKOGD8gs98RqCyVDk
pt3Bz7sL2Q6bMWiBCjxTaYoPsw+GF8jRH2Mz0T2MTNUddYRZdT2D4+dB8yifarhHHFv0XYId0F0g
he4UHsPRlejH+DmAWPrBhdlVzc5PnXe+VkAIQMIpA/lw/LqppJ8Pjr/LrRCkKSBjaVS+GfkDvaNH
LavPR9YFNrhvN2M4E7xWgyEI0mpfNOlo3fznwsdj0hvwRno7fI3rW1cV12Uf4gINRxvfahG5Q9ud
7AFlPWvcuhlMvigrtJ0ogwJyux7LUGQPKUvEJn1k0X+jy0T9qauBR8iarmvmQ80XsoeUxfNSDKhs
VU4r4U9xScj7Hny+D8e+7C5avajR4VrG4FTScu3vGkLJE2ND5H4z+79v5P/7PCZ7YBksSNkqhMPW
EQ4aviOlnbup23k0F1zEHLvAV1nY0xiptX8IPG4FD4NsRv2VUR5enGDbrQwDH6XJVjioK/igbd/p
LlpZpsfR19lWVsX2oy8gbXvpBuTczEXN+pPrMLyfh2a683U1X3gB0dVkgwYGpK91HW6vFQW/5bm9
6lS8dnU82BMubOGGfwvJ7IoA+fnUDFAnPuG/tvUjZ3A1OFRIkj0gDrhGGPCAkHwuC9o8QZAzeWCQ
uz6WYEmyO2j6oI16dEfbnK3kT8HG54SW749tl90Zg7um14FYWgj5A2erWHjLevs7IY1ravvFVtlD
4pwLdLnBJycfB2h13BoLLfJTAuVMmBbghlDeQrlZVYe6a3+75f0zv9IxiUQ4R20eDIE4h+2iLtug
yo+H1mkPkqt84XBH5G0+92F1giI4lFBhDvHfg1/z9K/WaVcaUFLWrjWuzeEFVL8AVR2+gxLt+n1t
aPCbzua//cT1n/+DMUCKRJZsGNuzXXkrTtU0mrFOZ4Nm+20NsxP2m0v1v33y3fEDeELpZqFKWDFN
bXtxV+ndpQnUudZbzDIguo91lWAo+vYvKiv0TgqjsGgdCwB0E59xEB1MYDF7O3gAwRE0Aro2p3iO
mzg0kzn9zQH9b19iF8wSblvxBg7uqS1HOd3Cgiq69HGCd39RzoocQheQeBfXEcYWdS0DyHRASBBc
9/JLArut32zY69f8xYbdA+msT0Y4n5gmlzKaLsBcx2lRwcrjv8Ph30bfVQ9zjVYkh19TXodxeBlm
r09xUh+6x/3tHPgmEMRAlZKqONG5viMFfIN6cWzN96ZwnsOnoIeZ0WnbwnORjBdds0P3Q4jSvt2P
sAvra5u0xamt2b2M4MgijnXxyB5DB1ghFknUxWlolvGusXbK4UX1cuxT7oK0iGQ1ex5gs9PSnofB
hKlPVHg5NvouSuGbZYqIBHUuazvcA/X6eSz9MXFYssfQlUKWwcxcnSvP1MUlU3cDn7tjUFT4uL79
oIFf8Z6iTZ3XTTOehip+CKSx50PrsofRQQZ8dJb3yWmCM8V6YWz5CHO09lhTEeZUb+de9ck0qrBL
Tt08PrWqzxvTH0vieyidr9a11CUKKTU5uAY6eMRsKvrNyfsv58pe12sGOn8Dww9BZOc+BWosGwQU
hY+t+S5CN4j02HkaarCWtM+6cujHtDBdcgyQRsQusSbag3PRRgmIVv3G0lgV5r5f2/oYD5Lshb2c
6IoOji3JSS8b3myfgQL4zcr83dv7RbbYY+lCsYGK0ZVVTn3A53tS6wgEoxLCoa9QSurzOko2nspx
vloporu2ZOPURjPkOAfhL6NLyAiLMFqy71pGbM6LmNfyUAceXvBv9/IajBS6G9P1umSm8rbmJHbn
yra2Ox3bF7tA7+p6EjGt5Gk1lcAB5RvXwVhOUP7z0A/scXhmah2cXgZ3hgvhcNZxCJ+DJDzUaYZr
59vlQckW8YFrd6ZX3a8lupqdhfIQvhraj28HH+Qc2mLC4LODdrOy4QjHRXYM40f2GLywcmDDu85d
ba0GeC7BbQIdiR/HFn0X7XBdgm0tL6bzzCoNq8YABC54tR7La9Eu1ktgTUkYwP2xB7Im7VtTPinJ
p0/H5r7LyeEyDJzCP+IcJHj1CNuthI1KdHBh2NtvWpuFwsZGTWdoVLL3nV7bH3A9k8fKoD0Ab4uq
ZZzcbM9dJ1QG5WoowsD38TcH1b/kh2gXqiqZ+MbjyJ5ruZpLVEzQFw9g+3Bo2fcgPL4wvql2sme+
6AqIq+kV9Or14OC7OHXLCMks6e3ZS7rBw7Q1mWwP1irhLk6j1omAj1j1TUOuZZn8X8T8j7HF/9FQ
gOwheME26LFQ3J1LsGfgLlbBRIyBynls0XdxChuxsKhnFFYSFldW8xddsWP0atjMvd3qFRxg+34I
3bkmhqTrAGOsogCM7r9nfp3hL5LmXuVL0XZkbc9hGFyoaH5fOV3rixdMmUto4Dl9LKL2SLBi5gV8
ePBHRCwOTjOLyqxb3TEkGCzw3i7RUBVymgRGL8uuPsWAgWVJ7//47xX6l3DdQ8HaBscB8IzmDOsm
n9V6bE5WF8cS3x4JlgwhmXQUwaW4dfNFw4E2hYDxdizz7ZFgXnMhNrOY81Rt6kJt+3GjTXTsk+5x
YFulw61Hr+c8xJXMtFqbDJDUY7B/sgeCddLLScbFcA50YLJmG7qUD/6YchPZw8CKMFSGNmI411fz
qi3SCm539piqIOG7iHXUo+VsyvjSNN32Cufe9VNDut/p1v/LftyjwAq+LNQBrHyODAUf5VpwDIz+
rkf4b6PvEiscbtCu9klyCQO0zufgZ6+610OBtEd/tZTRAv4Z8gKdr0Kl8wZ0IozA7Jdjw+/SKlU9
hx2VSS7RoDsAcJtVVA+Cqi4+Fqt7BNhgY4cqfkguiaVpk7A7RQ5WYnvwF4S4xgkua8lFh0h/VzxE
dwyQSPbIL5hB1EUlx+SyXaWP2oWGWVjB3/fQou+RXw1R1bT5Hh6kbXHTmeE9EcfUBGGz9/ZQJxFA
RVxr+BcD/tB0wQOst56PzXoXoBFkhCrDu/DEhNM0DwcF3nW1aPfx2Pi70rcb6NjArV1ewp6ukFAP
bQibbB3/Tk/wWhH9ImmzXZDWAZxd4wU+lnoI7M1UzLN+spKUMLnUoyxuS70t1eO0Fb+/XP9/x6hf
/eguyUrPim5uRoVr67p0a0ZVrdgA53hEnbpUxdqqdOw17GrSDmaoPRytvenkba8GUekLLtZNq1MF
705/WxU+KL5zvgB21xFAWlt4ynvYwKUocobxoRU0Hh5nC8NJcbsGoRzb1GyqDOqU8KTmcDae5IBC
qBf4dGmUjH35fTCVhgFh2EoYPvKthdzzyeNCL2HuPM6LyVrPm/UFEnLLDGPOFhY/kPn29Wo72N66
QIQpLOHZ2N7QoRWQvtfoWU46Ba9AOUzQyr77ODCNi0wjm/gvPWj8Y+PGcD4JwH156rBCbTbPC6vz
DSaFcF1qCbfd9x5NW+nS1VA4JadRLMrqa1fDSPynLh2MfkDk3HqjU6h9Nf7LFaR3M2zar2kH0Sib
LUttaXuSIE4W5w1PNuwcsGK1WRFjpyXZLBYf6RObt4jc03gWyaWO3KbBCxt7fwOXgA4OgsMsHhvi
6vhEar7wrJLwN+/WWMenWEMAFz5/pYAvqV2avipPE4xXC5mhQ7KWPWY2dkamMRMSvJG5zotQomzE
WSK0u8PX6qs6hREmHqsSGsAK1OmOfRsnLU6L31b509Wb55fB9FH7tBkWi0/VCDfoJz4VnD9sRRW7
8qQ2cFTCS7I4CkWETUinHsHQiPG9hroeMLmSbEnpLgSqxqjGNIHd+I0XfF1+jLGu+zLrZzSDbyUY
SMkrXeVqfaa6EE5iZRxcZSCVU90SgMWyAbQFBR3pZnf2+JZ9f8siNNLYrWg7GB23ok0uoq26rBfr
og26KT6wsP7t/WzvibPtGZaRfHsSfema13VlZRdjO/TMXRoe2TXryypkUImtvDrhXlPFX+OJd/19
sm64+FURcTDnXoYJzfw0iSPJUEFNE+c8SyLOm2faxkZcILDSrvcdWyi62mSCttqGZ+ZpLsHdIt6K
CUhOAZE1otwPpgJwZswsw+FFRprGp6qwUfMDd59YIWh02M8n20S9fWodKcUr4FmjvjRegiaU9KSP
7rYoYO0DrZZ2+6PuVO/AmDFBHz6NCNrq3A2VZ7eDps34uQp0DFvLLWxLEaVSh8nwRKappT/Cpihi
D5PaRJf5ssxzdEdMHfZfmkX4CLadloCNXsICPYG0cyTUz2JayhZ2oGMb/4i4GIfPYJdvVYbXJeQu
8Dx6eFei/x7jf+6D8GffmHm71Wzw/rXdCKXZUCGSfjYhtvlN2bLtaUpIeSFsjJt3sXFSnElcD9WH
sa3W7f0CggcL8BIN3YD4dFUiFrd2mbrurxYvN9V9I+DWmfd9o4p8ZAk1925MJMuakIfsayxYmPxB
l7Z4AoU8uMMz0vYT1BadNktUnkoIBAWntd7i5Q4eEvN2A/Eg/kUldZicBgWm47P0leqeaFnU9Hbp
a+fPwVg1603iDRG5FGtLPhNRtMWHakzKIRv8FEATsSGJBYlGCxj5zZuNzKMl20TgMisG9RHGHUX/
zkWJrC6kant5mtZmxtm5RLGpLsBPU/M4JrP4qaAJ0GUFWobLu2olBkdJ1a/LWUQ9LHBPBK9V833b
QOD4UpRuAL0mkHP5WsU2CW/1MAwinYrAiB9VlTRDVna2nZo07mhBYHQEK/Rbq7SdTtPCSHCabMdo
2qltGb7yKcEMThEpKeQMV8yiDkprUphx2u7cXSV5YJaO4/tpXEBMO0eDgS018Quc4HG9gy4nrCDE
I8ql8s8CISxhC1oxnQm9RP1nP8KfEQJHWkPyLOXtttW3ywSW7KuHP50p0mqc5IrzfhuWvk+bCWl6
SdHxnu3Pxc08+gQLDoOE0EKtJvmgMMr1Qw6TgxNyIvDSee4WOISm4H7CTFbBvr49z3PJlU9LOsXb
/bLaEl2LFTZWyQ0pPGpEMNmq6tbCZQ2+o6augxcRtYadqhD+3SdLZpqcpN+25pMhG29u5mlbktzp
PihO48IK/8BhlvOeUNvUL+gcMd+mtVJTcoFqfDndJS1uME+wi+/jS9jWyHdTUUQjcN4wtn/QJWna
rN8MnbJwMBKeqcLYol7Antss/TARGIunrgsnGN+vRLKbHk/GzVMPpbt6TGcfwkAHuuLpuJiE3lKe
2OldZMeg+87qNVYPQnGLPdZVWlV/cBVv2Akakm323JdxPV/wl63NOdJtaD+Kdq6KO1vWDb8FiVao
R2cYDL7OOI6UOMGXiRd/bpBKhqa5rZroxvZ1WQLbDAYW9kgMHaW7qpn8cDM0mgMzzIAhJmc7wPUw
nSffsRf8ZvxphhP1+k1BNB6c9IRVfZiNkF8sswDnU5GtxbC+NExM/CZOBnBdoq4DWFXPBj7BfnAT
LOVMv6wgkMySZnhQiKv3mG4UvVsXX9Y3QcdCvBzVRRu4V623vrsDdLfaUBV12/oTWcPCSNjWhNDn
60sNJxmvRrk9biQJtcVJvPniNm7w6SE0K+Bu9rDgQB7fwf3CmlsyVcl0s04iia6Ze62gCVBiGa1N
pwRRTqBXV26uzMZ68f6ZJ6tKUrimxeIiQ43zLW350ph3ZKLx+H0zdgibVE3zGt36kJP1KcTur740
doUFDf5I3hfvWrTDlg9xi0W821hj1lPHXTTdIP8HQ4nFhWv5edmkXEoUT1O/4WOacr7MSxvoj5L6
Sb+fsWYzjN4BC33XzHVVZ2FT9fbLOkgWfdVM+linUAgj8Jemiqvyjw6aqeQ9VOvD5HsfiqT9Nqqx
ZbhfQRARLvYNa+SNlpP1qN8qEgtYGgfOIxWqFekD1R4kY0UQzfJkIdLQe2D0ZPADqvI+zAiSenO7
ubF9lQ77+9ySRYmsXjf0XLXsws8RAy4i4z4umgx30VDCEbGXLmdKRmJO+Ur0+DRUYwXKMYV852VI
GtU/cj0sgUoFGFjfm36c1ktE63B+RztioL+Ld9bkNYy7pbrMCk4570dW8S+xhcvLyYYFWgFxHUzi
yXdDIS/ENAt7h/cn3n1QrbTbPW26EfbpXYjYACweQLU4byGiah4LrZJhzeIwLN97IF+CbBW1nj/Y
bRlBiAbvlS0ZZAyLNpMJrYd3rUWPKa10qcYz9+DVqgsoavQcF7zrToYUDF+ihlX2Y+iGq5MrfL5R
/MSAVlZllsRzxE7ajYS6tN1W/7mJYUkepZsGa/F1ALmNfyqt6B9M51BxZVXZBBltoArnM5zucyoX
wafPzEH24KYUy4B8L1f4daccBN5hSj0Pg+m2xhTIs+u7ScKmW4yn1leuy1t4M/uvETHLfGGyVRTO
JAaSZzSseXziCvDg1HK6wSy9CJYpNVHR2CcH6FTSZVpoqR5aW/h3sb8aoG5m4/c2jltyjuFgsyKN
ouQ4mS3Esb+oOShvW9FF06tTBZ0/dAau4ngjGdk3r4plzoqlCm9QrsE1swWLpkenPTVrU91U0wBh
jRC8aiRbnm3blAxpDzMkcZoMYTcl6oHPi5b8voSUkk5F0ow2qyiDtXu/DSzt+7ARd/FS+j9CsH+a
R4bQ0fnW2C15HANm3pMFEq+4AvHpoRQx21A70dC8n4MBsN1plZkAjfwR7zkga8O+nkONHDTkR29i
9rFfgvLcska0qdbrdD+3KnlXLlDQP7XYxlm0uiVjVVHfhGGYPDhR+ruSruqbL+fmJeHKZDURzyoy
+mPUJF2SlmSwgJ041bZjupI6WWxaotr1Fw+rOn8DL/vyk6DrcDc1Pk5O2M4i05vb1ktnmujOA74Y
flyCWL6UauGQZWdTJ4ObQst5UWmBnRuDJu8r8kc9FX76GEVC+HSu9RoDyknnxZ/qqx7ArfLrBtmU
2FA/wFl3HC3c0Nea982pFDMN7mYago0NWulC7kxFi+TJBqudLjN4/uTTJhQTWeLDebp34RCV31C5
6vEcTSxgN0M91OFDs84KZq9lN6t0oYOJP3GnBvJu5I4PZ8g0+A6SBFZUt30wJ+prUMFLuMkiX0f1
idimmlIX1ShFk8nJOjMKNcqSFjzgXKU+8q7+ucYwf3+Y137efsCUakE5VE1xhN2tEFvRkDYgDDVn
qOgULDexqpvnleLuf+67kOvLJHHunHCjKeXteIXfnUepGX8HUk0T3QM/y+mJJmuU3FLQpta/aoCx
9Ttnp3ggmU/Kubqzo+VEpBAUifE8ujVM+f/H2ZctSY5bWf6KTO9QkwQBEGYtmQ0X3z32jIzMF1pk
ZiRJcAF3APz6Pl6lmWnltKSxsqqHivLdnQDuPfcsj2iNRYAuGJTN7TxNzYR9oeyE8a99iyX5XKNZ
NV9qVstjqDEio1NrxBd/ojX52mLAijbZaobERYDQZYKrA8VSnC8rdvdpXGy6tsUYfebQ9M+vkcHe
/jZNgwxUysRAcF7lHSPrMzebskVMgkDQeJ7zsU1kTpvgbtoi636GkPs3P8YKarYsUogtfHJNaSUM
B5geH5DxzGqbdSvcXfeyIoF+4Fhl2BE9Og4RtqfSCoCFZQdZ80FRrzQHWpe116bhNqIEiBvOeQEb
eI3+AxWfGhK39rdaBDEus3lU8zgWZi/roh5fm4nodacVmeVxmuTC8Itt0ozpEDR2/VpLBi0SL2s5
fZ1NPay7vvBaksh68c/VUOQ8GTAIny9OqbDATyIqiAEnoOzJ2K8DitKBw07mddlCGUEgPeQXXQTD
3uQ2ehpo4GZUB2zb+nvXNE08Ihs0hiisWCjyxSKld85EzCUF4lSX40YnNGilXEQ8zUaTPp6X2UyP
wjei/Lki2iTKttrzypSb27kaFxMyJg4bb9k3h6C8SsVUE5mfEMcc8jCZmk0R1KPOI3u74Qre48T3
xWnGZq/e5VaVKc74ML/XwTRmFRm2BTNVkpMj6ls6Jx5wxCkm0TzkCeyV6Ce6zuCfraYs+qMsbycG
vq3Zh7ur1lWCE6lvXxkgfG+nyrKb056wymSrhZABTR+Bvm4TpV/dRcp4aJgrV9+BB74cm7ziHVZk
vpy0B6DjKoNiDo5LPjdfIxQr5q6rzXSaB9E1ZRo5ZxPGsHEAiinyr7C9UFVatNg7KzXW13n2UMBt
8CExx0ZEZdJvDrkkUH94h0qMtLkOM52a65gv03npe63eg9FGdaajenxB00mzllBoRvB+eHR0m0Ag
WWND88pgRvIxBtxDLjnsNypcxKgz4saIdkeROr0kA8p7nUQYbK6Ixoss0F3sm1MyDKNNmgUdIwqb
XtoEihdXxH6Ji3dwddAkPYgyoOjCXyS4atnNgFdmssn2JMzKyjdr1mG7bKF16hNsPnRwaXm1VFMy
07WvzjoCjQYWatamCDbXC6Kjw/sAEYbpqoVV0I3niOrtcM6LR7+kaF7zCa1RzBF9d9pUTizohUOz
pTVGjqyI8xkiou95h2iOY1CjdI5zaPOjDz0DhMCZhZof0XzWw8R5m7G9XUkk9fyM4UQwXgxk3839
aBAZeRcucONJomjszX2L2dG3cOsIbG4KNpefS11AW1TPfd+ANtWGL20g5ypGWmsZmxqREuiYEZ2H
vW/tP5cVekQgctOunhbnx9gjbF7FG5A7ltaCl2VzdkagzYwhx/G/osDuaKLRiK73ri828+j1AxFv
Jh+65X5ZK1mdolIWbZW1S15Xx7UorV9ivw3Yz9qgmvxau8KgwN5kD1PhWg/bJ+CsLbhCKxry1sYW
Z/l4sGoyWNnB8BrQku4AiftnaNFxkEQMjtBxZ/giPmE9mCaT5VzCKCXyO3sx0dLVX0yLBjYeR2Bs
V58EvPtAbrys01rnY/BCgq1d75yHruQu1wjEeowAQAW/td3LXT9R2v1k3STFwfpF4yVhCF/hCw6y
Aod1YVlg0pwLG/UJIoXAkkw2H1yB5xUmMN6Jw9DGO+PCEvVp4TTskXDm2e4qe8BRMe+pgS10X44f
HqNVeRdseQf6Re7V3QH+3CR4gDxMcJ0g7GYzgLk71+8QU2fGHQg9fZsAPGbLt860E0EO3DZHR9Kg
a3zzmnZA6c5R36X+KHsFzR3qzPZuAUxSJ6CRz9MSw3LCD84eDxhqaDaT7lBhnLx+M4GTEz4Vz+e9
KarIpCPr+zprKI2GNEDwxow0+LF15Q5FbyPPeQiXKXDMmlsKEkKhdKrKStpTPnsiSkCHLyRLITj3
JthH5y3Gdpj46OLEV0s3bM1zHx6wT2oMJQccYTHgJr+OoYvbVDq03dLsQrv4w4eoWN0QlEh+OFPE
esKrAeH0bQPZSo1BwDwla4vjMExIM8o9D/rA2WPtRzR6hTVuO19u15zt8cGrUIWJ8i3V90xUjf1M
8GkkiUt/pnrZ3Ux7UXev0baGd8utUTjnRNcWZwxogfDRcXlR3LvWn1CTjQvl3oqeDK25SAApMxTl
3tTK7nvlsGWDwuRE632M80qG3QIPT9SFWOaAzRHKocfTJPUS3bNSrQVOxEhtP+oSoOtXpYyud2ER
dsTg2+1ph8hZPlaPIaoaHA2BFCHb9djah4+yD5mJ4hlO2O7OiHCJXnzAEBVSLgBzzt8kXCvr154s
mjzoArj243qrxyHMdlETJGIdYN8KdVA/NseyBbyPiyTs6W4UqO94hri4ZThD6FQwk2yAyjUK+moU
lUhBDpujs+kBmF9QRET8Ui9hOD13jarHkyio0UeyIH/6K6YuuZfwznJoF3RLlrgRgSEX7cGE55Es
01K9kQ3xa4lEAdBlbmmj8a6aZvD5W+aJ9WVrwNxKIm8Cll3RpoOTxliQ+XvEpz5/oWYqk6CDjbta
txPZkFI8ol/SZXM0fUFdjDJDAawQdl4OTneSHkaAiWbf1HzzXgGeMHaqagw8kt5rMefMIJv0xuh2
hm9o4W/AAdkNYxAsCeWtIjHW3JX3kwsxUmFwAdh5Phikw64iPmBt3gHJdnGDJKkodoPtWTqWgoWH
2S5yO/ShJV4H56rALBLQRYFIKL1IX12YP07TK5tgHv0hinBpLx4gQLFrWLnIZ2OAQKdNEakCIizw
bh6qrmv4OS+arn42Eb6Yswuiejp5C5JDrivea4DgZrexB7WItjhZNcr6E+rZKl8Tb+GuGlKloxbo
XAgrqspLFizmniSwOOCuTzHuEJHc1WA93ZxaxRcYtXmTn0gJn782a4F4T8tRtGbEFzsL1Y8PdsSX
htEQrgRkNwdCumeKrx0aEsnKevsEkDi3uxUreSe3TVzQK3ByDkguMdniHky6gtu0Igr2nuK839dK
DOyyNRoCUz9wev5iqkVCm18vcEjYzcjjdWXsG84ERjkBuCXeMEVrwtG/TV/bNYyCBw11+RTsbo6W
Plo3y5BhHY2bXFUiW2Pq1LXjLThrnvgdG/OwO4YQLJrD0PULTYvV9d0lmGDHASTIw1hJu1EsuwpY
pR+TyffJDqOYuUqbqJCorvth6kXMaVvRdysQln3Ot0LZJyjPwxkQY5mP2w/aMVp862vtNUePQtF1
9ABuDVeIo8f5pYHzbvlJdyy0Fz8kk/vpBqb6i3MFmYBj2CBKUMEAHAeMtgBCrqYJnKZhDq+L104m
mR3yEY8j3oJKly0I6gQUYI7RYBjeWIRrtJMgcN41KwJQP3mmLqbrOG9+dxJI90JdgE+Yg9ItZ4cA
7EmE6hvQDEJTxSLST/CkRCGWTB2u9jYD9l4DHMBGeutmzK0ekWRcaeII8UcslmgYwQrv2e0blD26
8iL2RibvJ7E2BKrqSlQ/ltv5+EMsUIlDMsuK46AlShEP+13zTMcxmLH2CtYOc9xHE8Sj6KSRhyNK
r/JSGjACFgEthvwuKMVsdthGYfm2Nl21fszK9vaiN9GyzygGeGhjNajl5JzY7OdItP16j1O7oIcJ
5UrcwtNjiJF5Utwwwd6uOHMxp3lAcSzFaSpBqL4DHtxC1wuX9w0d/FCjOWfI5wvZ/A593hDF0E8E
JrO8rwFOjEP5hGmwX6TriuzZJwUCF85FRAnAok6uUS5fRQ+BYp90HmD7dd/l46DnuIKsKYx1hHEp
TTDiG5cP9MsFMCr0pd78jqZsq0jMZwyMVcywy86AShoNUnsML+7eFDsLFRwyUDob8vILhKRuGePF
IKtj2LdoOSqVmAE2yeaEftgyPx1piYl1+seIAb9wVLgLu1Z3U5N58k2FL3z9Y0zeX91LWENXYMN4
Xlo9RWh9KvYH+fq/epdoWMPJvBJih8PKQ8cqV+86Yc/8dznc/8Qdx/s15Ap9dzCD/oLym2AVDKWu
5nNriIbh2jT26G6DVcGDXMgheLATcKIE2aHESzSxaD3+9c/C/2c+xa9GJwXwYFuRUew0ohObFPn2
9gqm0pCgasKsA8B/9G9kzf+EueH/QmoZh8lNIaV8B/XxIJ5np/Ml7QtUm5CqoiFLPGjNG9SG1nWH
f/3h/gmj61crFAUyCvb0gO14hACAGR4X2QBg6998oH/27L9QXXrEh02ilAxj6vZbPfqvJurzf8NN
/WfP/QvNBcXy0PZFznYOGQNxObpjtTT0Dz75L3SW2ffnTi+c7QB4ZZjaVHHuA+b4Y9/5L+s8t2s1
M1nxXeGRCSfrmqP9xhn8h579VyOUoO4pqAj4XtCwwQh0loi02/Tzv37yf3KF/uqDwke/Nb1VuFxK
IYMfU1e1JvG4CxBiEgVtH/cLqJ8HKCpY/4eywKAD/EemVxkVRsAggu2Qvcg+h8M43SkfIM2//kC/
ra3/gbj0qyOKUI7y1RXhro1kCbhLds4AycU/H86f+WuI+hf/pwv9ju+rXr2orXrxcaWxQz5VS4mO
oSgzRMH9sCtFTmw8CxRGv7+7//gHYvr0t//E399178aqKOdf/vzbi27x73/eHvN/7vOPj/jb/kPf
vbcf0693+ofH4Hn//rrp+/z+D39kqI5n97h8jO7pY1qa+bfnLz707Z7/vzf+6eO3Z3lx/cdf//z+
o626FK3HWH2f//z3m44//vpnn90Egf/x31/g77fePsFf//y/uh/l+P6nh/H9x8dU/r+P/Hif5r/+
OQr/IjgIC0yywIcO98ZhNh+3WwTHLUADOEKHohB3wm7eIWexxEvLv/icRwK0D7gM31Ssk15+uyH4
Cw8oGm88HQ8DrJz//fYefr9Sfv9J8H38/e8/dUv7oKtunvCst1X8fy8oEd5eAiFBCMkC7BMx/stm
/mu+d7lE0csmSNenTEt+j+yiaEqJjy6o86zegeqtIDhECNN/+9r+h/dxQ7p/eSd4G2g7pKCMhpxG
v/ouIT+CV8TJINMwA3utI7cAtJA5YCZEbCDxSV7gpRFvWFNtrjHV1sshaiTJfGXZAf+r2hG/1ntd
l+1XVoKa0wEwBRQC9g0s13P24M0YVyNXNEjBDV7uSlVhjqUGVmch+pPHckJVW8Gc4hihZU7IQLYZ
RmdNnpGxNillwmVdgaEcgFzzBg8+xDjNnHWZipw8c6D0LpYBuHMK93cxxv/+ccy5fdcYtCeLCu9Q
t5MDmP2sibdppu+ghzZXRiFPjKEShYknjLPOls9JxZ39Rum8/fDrkb1IXAR70O/W0wxY96HC9FLF
qqwrINpGfwPHfDoufB3vy3D2T572g5SDirbjMpwfCk7zNOwCl3mKnhrdH1AmgNyAEdkn0CKaAfgM
OOkhdqs3f8klmGJe8KmEXf1uQZ17VB3N422lwWUoC7LDXby9FTlPtSnHwxR68lIQao5rdCs0XbND
bpRLEUu3nEH3qYC3hEXWm6HPxAKZBlDvju6cMCzL59BBysLnFwYkPJWVpqkohvIZ5Db2JrYox4YF
oJ2CwnjoJ7rhow0PW+1c3HJirkVbq5cF3vGfjcEgQqHJOwRh6MWjDqpsQOhjQrdx/TG0Ksp4W3eP
ITIQcEZyslxh8T+eqoKGqc+DHdig17AcDlFHztFQ4syzBKw1T9wj37l0sVcXfrJ51T4AIzAmbGSZ
qDu5r2HTGU8TvzXVrjnwkqRdvtXJhAZq4tMDPCp43JToPMQCmSQYeNWBrnDFgFcRZvJ1Pb9VCmEG
3TRrwDXFnLiOkG9iG2wWrR0CiRh4Rjdfr7jCZbVDfFOd9RhS3f6L/yjGWe4BgRWfN8z6EIror+5a
hAYzt1L7j56l/sPSrvbe68mWDAB1UrOBQQ0w6x7kG0zo2mXb98U8PzYN4/umCbfHcM4xpttIlUB6
ocHL3KqH2lXdPebyRUaDimWYk/MjqI9hwsoB0+fOCxJEHPYHDcHca9NRil9TDGBL1WDbyfYnxQgk
841sX0C5BPqFRjTFc8Cuphz4YbVQi1gwF46azdG+64ogo52TcKFqRZG0RMpsLLwoseC8pGNBq8OI
COysLpxnYdOmPfSu0ch2CwWHAlsEx1qbYN1BeouBW9e69qBwFp5cKfJ4oZbfgxJFn1aLqqCb7my/
bXu5anaNdOj2qunWNFy5fy2i8l5ik8mCKLz3ljZpSvBpCq9bzqtPq+9Oj+XPtrBLIhsU9T5sei4O
U9r7TdDhrcCuf8CclZ9GeBlfOxPOx61b2Y7AROB+wttOBsxwngoMQN+DPqpOXM3sMJtl+T6GzfBE
Vj/CREaPX4NhUUC6VA4sjUMS1wOE6mIWFrw+RiFLUOuM0FCLZXF7tg2tSUFiaF089cOyQ0Su2bFJ
Rv0dzMNNl0LXoa4LQLS0HInaqQJdfakjDOeQTFsmPkiycxoMHoWiZFkpQh+o4ela5a8gOuT3ITiq
GygOUgcx6Bb4nSX6H1Bj/Gh5xHiSN3HgTePrNPRbUvt5cc/nsT3h8FuvOcWAHXua209u6U7GteWX
3u/WNYmKEeu6XEHtslTWMKQxXZEEmPnSS9nX7HQzaA8z2ssPB1prcey7bsjMMnenCPyXtxCxo4dN
afDAVriQxB2g9j2y08EjkuBH/ax07fosR4z9TzFFEwY+2/zWgjN9QHLZfVeSz4M106Ejng/2L7ig
EarGLe4bX7ax43LG+t/CL42oOZz7y0K/wZOgAQHM4QU8I465gcOza9vuWAa5adLf2c2YBTYPYKKu
/r7NMbg+cuVWeelbsLo+wPmZlidfteEzRPDU7uae9O8TlsJ7ngfdK4Yx5ApCc1fGuR4XLKERr9bK
DSYFCoxWHFJ5+Fqs61vdSnLG/MTmZw9BmgnHyJknbAb49ztRGi5U9AQ8mD79zpaGSxfQ4srxn74L
2BOOQhiPGaEa9ThPkz5iHl89L+j1nksfJPAUCUMBu1tbOfwsWszZs7IS/HM3WPodI1l3xEyK7R3y
Dc/crdGHRMJ5GOeBpw4k8tklVyFmVGQwwzPc1Pi1Q+x8DJsFsV/9IYzDiQz8qc758KUN+fCElKDu
2cHj6gDRxLorpgK9Xw/GCo9lGNkr3XJ6CFlVZGJS8+43Yeu8GvE6lV4T3U9wpFGntX4iwGHOoF9N
cQiCb+ZhSNQnCiJ577NGFtMXw9QCtVpfYW7bNkhlziq9sK/cK4fuXmF8obO56jYVT+CrZY1PxilG
LID/6HdUY7slxWNpmHlrxt7/RImhz3r225P0YVQTUKvv84YUnzouQayAdA1Y6Iqn2I2LUZigjGva
2MqAPRzMZyR2ASmXEXlkDi63Pmwpks5sGmMSG+wwPiIuwfR2/TRav1NprQYMHHhX2zuHrI052zC0
pfF2A7IQyKDtQflmSU1RHPNJ22+lICbVoys/F0E7XQUt2oSUpZ90bUiTFV9wAqr8IWgxYCXSRhgb
2O1+QfxLOg5ygiocY37UYtHeWpBVsalCewDXx1zP9txj8BlCF2GW4CAmjM5Pk1blCeUM1AsBpkpo
RXL+AvZqCd5Xj/N9L5XwH5AGsIEoC3+WetN8QnwlHZ/wqB1TrtqDX4E4h5Z1KUc07xmRXy4rtSva
tJvG6a3P+RbnijkwQgI464DIh+OIglA6MBJrX8D0Tm/F/bo5tptDXKNhOUYXDo5yXBUjiI9h3Icf
pXe0Y/cGkPodFiyxonCfFW/jamiQAEjFXA2k3m+oL/Vu9lkP9NC69TMp3fDQgDySUUyA67QJeXR3
m61sewcIHvLKWu6hiAaFp5bNLSEmPKii4HsGH/gUTRrsQMAKLZOIYfTjL22f2dzz3cNkvUCftN7Y
lcsWYlZWkjFeaaPOVS3rl3VBjHqAaQZCPhC1ocCMf1hLBIxmqtfuYw3aRiSFNupzNMs87QjDrB8s
VUETBfi/T4xPdZvpNgpAT+0mT+UxMg5w1P6mOQAIWyWq6g3I1HlbHJg14RFD5H7Hh7G7dGLx7pQR
Q4D6tn61uqTBaS1Wkirjixxpz/nQHFSkuksURBgP+Bs74COb5EZkOqx09b8tU0EfQhNMqKsn5z1j
tylBxkOSdp+WFuY6iPDM2jVfTzXCNcY62lHQ5jIUPUhJyLviYhib4mBpyPtm8hkhonwmp0ipd1i9
S1CaRElitwXNx9KJ4r7GrojTf24hHQBeCtqEy11ah153RfwIqjdEbL724H894IAbztoz4VlKguFP
CBFEiGEHaN06/8nAcM1qn4p7y6oABbRYKvDnwKwFtZq8Er5hD3E2z20i+87b1307ZaJhw9NmeJjH
dg7o3Zh7MqnkZt8ZSPmPDrv4PiiIB3gajO/W75pkaaaP8TYN5oU3pOKW4sIZAlcI2/yU+eYuH1EU
VIaeKX6hTLlaZCv3NFQ9Isw4Dpq46QeVtVUuriDol6/+Mt4N4AnvMJ6c9g3IKxafepsvIyvqMwiw
AhtJ0CwH8INQuBVlcPQQoXybSzZJ2HTnRjefeNB+kDy6n9dIg6NR1slga29XlZ05kirCyQQPWC3E
FHN/3u6bYWi/I21wudeovjDIzAtELNTlAQCeOQn/Ww0bi3mew11NawCG1h0oCUv0UptJXenanY8D
CYzdwpUKs/jiAPaGS/IAHg/l0VbsVDoOwmZxrreKXwtR+OcuAqWpVhBkJVvP+ltMDKiltv0Rwczd
j6fVvMDTEEV0V+iER65HZktdpcC06sfCoaLNxyI8R/MSPoZ+G51Wr1+z2VcgtpMIYiGs9vPibsx7
qkcfJWjn3S5DlgiHS4PYsUmRg3bIQbfag1d2Ag15DzJW6kflHuNOXNMuMR1rUlQd1QmDc4WIOmXP
Y8C81HGcTaBr6OXoi9bfKaIwEw8ZZixtPYbwybKHsBoOg4caYgvXKGEI34gRJdYc863F/reu+Knz
XpOkbB1odeA6nctikG8e68M9KKT+ZzApwwShe82pt9uS+sQvrg1hECgYuR62VQVfMV2nn7nY+idU
wOo4wxLgte5yfUQEGHny14U91dtQY69koNKF3VhexlmV1xLm/JmHou27D5fLY+T3VMXhrH+AMs5i
Es4XO6gzROcsdV7+zbM4+6hLNvg1JktFXjC6wcDQrTzujZwOxDXiaINFXg038hnU5jntwOhPtI8C
dhUdzUCajUCz6y9eCbd7v9Ip96CNoCG6SK99UqutUSd04ztguDAFQylPwD4mx4kGB0z9ycmjVZt1
sC6FymaeTkLWTwykBRZ1PA7C8U4HnwfPXhdwbeF1sQtm/qUuzX1nPP8A/c1zJNWuIO0T5oyHvPZv
xxIHEwhimgSl4eexkG9tK6Foq95HABtJMyKho4g6jI3s0h4kJB0xjpnuAgPGANfxqI8yqs8RK1sQ
8cPtzEd4tgoWNYe2jvahq3VSg6FxyL3upghpij2iLp49Ctw3ct2aIHHWphtoCTUuDs2PHkNzBaCz
/k4DpTHIF5iXV6bjqVqwR0LVcii1oimbG28PmVO+07XIz7ZhLQxPiukgIT4DaWxQ4lIVSNCIrEg3
zGGP8BJs9pU4+kt5RrrdASJXaOj9in3qezFfvFDQT5UKQbkf11nCMAGubPu6bQH11rmLliRSC9tt
U9W/EiObNKJoUTYOnLkFeehcam99BgX4oWYe2BkM9wdrAYPI09wOH52FZKitHWnjIvJALEBor9dH
6QDYdweIqT+qCPqIgdo6RUCmu24BqG5cBN53is8Hlu9Sz4nA9OxtIdFwXEHLebBLx3Y5ZCyYwsl4
QjRTtg7W2/F1Thaae9jz9BvlxHtawc9Gh2Ole2xh1AN/KcLH3cww3DbI1oiN8fDVY7oOGoaRmSGQ
/MSYMVxacAdT3nNzEbB6vaxUX4sKbhib/wFBVgn8W5ykfLZejekNfYBb8rGdq2+gyX24AjSl2Os1
CvFgsE3MeDEcJn/UOxybBG5DjU1VQLxMk9bcLfUKKYkg1QEn16H22cEXE4Yza2q8CEoq2R6iSGNB
iTbDafvBTXBHOib3k9gOjPhnBr1XjFprN6zrlyUwxZjAlbQ+DjgOnkffc3c0L78sNNiSUZNXWkl2
3yo7v8MOrz/g9rirUbYINBBHOqAbQ4lCnq2kV01h4aaslwjd88sQQM6kWPCGDbwAUWBgr5S2fkp+
s/t1/msrOKjXPBqTDeIv1NCgkdYJCAMfizcF8YqjOZYCAoMaCY6xa/nPWkD8WFbHtrZJadqXAdqC
uAbPpRpWzOZwgO+Q9AhVBt03nXsjfRRi9ZA6q0zuVXETNqDlFXzaNWF1VTlUotKfH8zYoNQDq+uh
nOgnhSl2IiwFHavxUC/CnXgn/GABfbjaWfg9JmEVNIDy/PDOWjj8Rs3apfWo8pR1PINyMINXrx4T
5q+nsL4Q6Z17U1VYjt3zosDUXrtTLid5qKbljm/Sjum0LDJdtN++FIO2b2A8ntQGqkCDhiNue3vg
Q2P3cFULuqyxTh8rkMJ2BCrkI/HL4FBP/vowbGvxtagR5o4V+o6W/4WOTWIegj4GI+uHAM71AtaB
PvoofY8lkKGss+uFQNwTd6BA7zwrokMYNAq9yXJftIBblkX3r9RXEAgqtxRxRSKa+T30diBlgjfc
u/4SCCBmaBtyjNg2/gxxVJUgKdheNRiawDIDPhw5V0s6EgvapbSw+Gu7WMIAAT+UV0CPl1eZgPZG
xkNPq08rs+EdrrMMYdoX+NFPF5XDv1grD6jXEdzvKMNjJ7CxQxAy0SlmmnouxWuK7/2WI9FammeZ
q+c20OVeaKQpgVhXv5IOyPfAxocFBLdYVV6V1VCiwMWWwJkF5zzq5JUAfA0xjG/6J1DFVmhl1uzG
egUBggzdcevrPhmM+cL0agEdjOWRV0V4bbygBu+kJICIm7ofYsA3qJaNpdFFwI4enDsInEXKFO4H
acualh0M3rAofghAXWCXOdhEcWUf1VQMflrf8HDpCVAJId6pg6D4DBFdfZkiKLk6ym2fTZUC5ZPk
NyFX7qzaG3C6vkKrM+/nmsJMFZUmCqp6SdsQJ3IF7wkVjzAAItgXHAQ1kom1uKzcncEbJ69Q2oAu
1990cRPx/RfJGKIRwE6qIUrWrbpAh16cRd77BwQReGcrig5XZ9duJcifXNwJyitQm6bhgIfQzAuq
GbppGrxWsmFHTLKGn1PZo3TMw+liRjRMHaHeY9Cx4p5wTfdDCStV8MhRAMGYy4d37oKTd+1bdvHW
OR1R/FFfBv/F3pntNo6k2/qFNgucIkjeUtRsWZY8pJ03hJ3O5DwzOD39+VQ9nMrc3VVoYN9snIO6
6AKqM2VLYgz/Wutb5OyYUtx57a1AoDCjA2RK84mFvzzj3Iy3Q9T0JX4Vev4wu1gNloqC2HcOfRkb
d1Oz9TnLarabgTFbo5iEVbMZv7uS9QJnwpg9m4Z7UkTbGGaO5UPaVHJlTPb30NOtD90yqhhrpRV+
hnlSPHEMeUs9gc0yay+m6p5MLxsoBGTgpXAkQZ+osWM53RGHMF9XweDLleWwm7SlfK9F4uxcwm8r
dGR9PVQ93yLGg0E0Z8uDrgbM3XpO/JrmSsZmROB4tGwGdJJwXwHAoUrS+t7NLFI1zeTQy9g/D3OM
w8dsaXfGIUDygJySKeQ93uTkisum+WoTNYcWHjrj1hLKblbKtmK/FlxsovCJxKy3d73bcQdIgnTV
cQLOyYI3pYfZdH4kHP+hIRR9kDGCYiUgo7ca1C3OnpOYWHVLNgWqN8o7uYQPylkeZCS9S0zcakW5
Y72pevNbGbt8GUVinaaCs3Gb3qJPsEDeB3mjRFTeV49o4E7WMRkI4dqkGsjs4wOsNSSiPN1Pg2ns
2HW5GpuHhFPTc5ob4h67WLMjqhMd1ORqOy52eHra/NInUvMnhKmN0/R3Bgf1zu0HaN9MJdeDuXR7
UIfa/TBPZN9q+ymuJS+XFcgrLU6dWJNDoDAKziUUBKJhq96wztrS6HeGoy++G4JyNNyIS3GWeUyG
ZHbsy+lqmC0PZ1s65MxG42CG3iOODfsYl+WjzkPk62K8xeG99dTnT1We3s/9oq9iSQJkwslv+Etm
OM4KWIK+k2Xbb0xOOKyFjEbtde8NrMmjkxHZp/0vZgrQ2nyZR3AKhmRBNry2fp49TX5WwmFqWcXe
ioPFwscrun3F1zCYb2QErtRZvcG1mp76uAsf2mVZDjPAxpNLF/kqq9NnEcmL7FJvowhCytQ45phI
XabdW1t0HAVn6+JxLjomsVqB1A6Son2ZVfoqhopBa1fHq6ZyMApfwm6IgwWB5bEVVrEytSq/WnrV
Hpuu6oMhkvGLIAu2ywjVBYSVKzJqbhAthhM0cW2vaeHVtkVPyEtdJrSmUzTG6SHlWXunTD4JV7lT
c+zuSceRouAJiEpxZygTXayxC6J1dX+IMBkGk9HuDcl66ttiSbZk8DgNJpwW/NSZ2U6KPMTyKWyd
kaOk2KkpPD5GtzBfqAu3bwcg/HrulJcfkEZ6nh9lVnf8pemBOMNz7zKiyjVzU7G+nbw5T52VRlL1
20IX0pr9cLwk4zLso7rMYt9re/0V8Jv2xL0f2gRf5ZepzIfVxIw9DjIVd2fWha7ht7bzr3Lyhm+4
5rjXMTTwBkShLBOEoEqRZExvbfUi+i45D9rEYzxnfAhoTGN8H2IInkkpJBwz89rynnJDdvt4qhaW
q1Yf3kbdEc8KhjWZMYc5FdmEqmSSaduEfCozP0fYCbE45ZNHYDG6QVIdLNr1yjad5FnlI+2osOyy
VanMZMON2t45INsWX1Y1qUCHjC55onF4TZ3yW1zQ39fP/Teu5RqMkYRUnN6Y33IOfAhuCwMrX0sZ
iXRKd4+D2SesFBX/BKouu9Msq5gjpS5eiZnzLPGf9e6kWbL7IH+V4C6l2mBTq0F8phzINzjE5d4N
I3lCZZ3uVYszWtDZtW/l2G/qJBcXJW1WtNiJ+KI0Dp+eiqW107SwRX+KyU+6yD5Mukqfo+LwnXeH
boaeygbHSJOdPrVXOdnIkAQ0KcuwhbZKwzQ/9ZqcHpmsxRsANOQvB08HqdgUvR9mUhLyINQRBQ45
6sAxQvFREdkd1nauN4cOVsmz2XtGYDKV3TlTbp3zUcu6lRO6I1K0aa2sRnKqtKmFsyKHjW9KNiiK
W5oe4ZEs7nsZk+5zmzB94IsPQ1bz1L4yK/OsD/G7R8dH6SecabEZDm82KIFVZ0fNOrOXBxUPmL3q
wsO1SiAqjE26eftiCZr5tU4ACOuNb5nVPYpgxZ9vjOeoboJhzlrSbO7yUg6xHoBnadcqVWMwTYbj
h3l7wEvLrcNZ2h23wHhDp3B4VTXWfEfJr1PYx/M6Ld0GG+LQnlKX4RdcQedqZyEQnxSTLcTceNnE
cRpexnJMNv2kTW90u32H3yNWmRfa57JtixcKMFgRMwLpjuclFzV61naA51GsWq+BCIOKIhfwbaF3
TBhLcuvI0vQpVnp/dUwEn7VJV9ywouQ9OQpv5kgQubYRRBZ7ssicVbhY0+M0Z8YOoM2wtSePCxpG
UBREkuwV0qk1OOvbTu1w8Vg7XoFjHUOAj+tNf5lU3fqT6mamKUN+E2aNIIX+syZT+cTNjFNKb7db
t6qtUzqmAPjmPAmISH1FfwuPHETSu5zTJI0hXGjmpJBH4h/xakjTfD2j/Z3yNBZfHG1ZQ1kYN2li
zbuu751dVtftsV5uUR7V6dcYFyNEIPZBv69HwDWcWpptX47hYzxM8p5xJb9KiijoNKV9RJo2HnhX
MdNLe65PRqjECnWtnHxMuyY2ipq6E0ADzo95LmmoQX3hDojqNh2ANIDIsBe+PcxSn6LFVmdL1Q9a
tAQl07xTA1Zgb+dO6vk6uI9jBB1I9xud5GCArAK8poYu6S3Vj2aUtDuNEkkF1o/6zLEObHotD3dW
lPN6VVebW4ODwhGr8i6n5e49Iy9urIlmjY4fiTJ54fP9OpsNLa4MEdi60NV94nNc26YwkGn3qkMI
2MZ2kiV4smLR+jZjOoY76Hd6YNsW2YjFUnJNdxmSYmsMR3BCcuUSrHrrZ2t+SGf2x7pxUr/HaA4+
sTo6pYCUUEvBZoNmzvm/mePk2uO7ZlycdtbZilih+0p/QGvAt873txDzs5GL7JMup+Sp81rnEwXO
uxPKOCQqtWqf+zbhYtcc25K10MhX7aRVrxqC7LkymvbGkDD4VhhaoGdW/XX0CK/7U3jLu05kDo/s
BfE3ZqDcPMzGOkembq0xBqUVH1xxRvif9lVcEh3vJls/khXj0U57BCZNNFi3tLeQROpXj3COXMlq
0I9Mn9lthlSk30KGlVwT7FFurdFId3h2PD4g1XxhMPSWxMvHOFHtnCrZPlsmMZCkEZja2U6TV4P7
55d+BtDDKqTPu7HlnM5do+M2pee4A7izBJGXDLC+pvLizsWyCktXnqn4dNZmnY+7pcyGZcWkr4cy
GVU2hTqEY6KRmm3ac8YeqAbGzd8vOBljic3itBcUL8Nvk4poZRp1087VYCwsseZutWYyL7cmmjtH
Q3ntWY+umDy01cKkP+DQPj3kIrJ3Zk/dRNyX1nOT9RleB1wrqD06Zg7NHradus3Htaw17lNzZO6k
t4WL4EU4amyzoEoEZiInYidIyplB+5DAJzNG6ClkVu50OFGrvjQx+ZQLAaqgcp00kI0kZ+x0P1Ij
gW5ThY3CGI+doc3yZW1axpPDbH+V6AapK1bTNfpucafl5oMYymVzS3P7plice8IjwNmSafoYcqC3
fueO7sVG/G65Ii3evZ4YxRWR1ns0NXt6QMCWH6Ybl0dtluhqpT4c0hZozCqKcnIAVew+2lTs7Ger
f+2YQ9/AZO1ysuiY3+CkabdspfhdiGGdlVlcMe9ldxNnrl1KciWwR/elKdoYNlSTcJR0p/S5wa/z
MIIMmXxd2enL1CxoBJq7YG5KBohE1nIiY1yuygy8K2EHZ9/F2TYuxvggCug7Rei6h1SI+zrM4IFZ
hbsrq7ncM8sYVktSFzwR03ggJLBclrRlvtk6TgHTbNZfQ1iCJx4J64smravbhs/eVI8PcRuVgRNy
i8vaLgpA/sRBMaWXGJ0wwQ21s12H54dS+OOc1kxe86m8z6qhXZVttrc4zl5KQm67kUvUnTcXgHS4
PFmn2vGqHXO/b25XP9n6fIwiBCNXE4eyKRBtdJq0d2k46a8xoZ9NlxfeVth28Wwoh4WrR5Pel2l5
MCqpjswE8ITYYgoSg6BmnvFGufhlaYgyCUK0CNWwryTcEfxKRHLJJm6iJkp3ppZg66jAuhR6Q7wx
6xkATGoGJVxH6LKxrecXlmninkjy05qdo9qgSepHZQ7f69Zg1tNFuFaTkdFejhR5z7olVvi/5gN+
AtKAXjQ9DX003btlOO485S5XLJb5eklCRlKeUV5JCLdX4MvmOoqL+m3Oh5TYv5qG41ToUCs8w/0h
Jyt8GbpsoiiVSykT6bDJePIX+DVQ9r+UST4HdVIxNYgrLchKM1sLYmH7FEbTvogd82IkMrm3yo5B
+UIV6Mobrf6B2UD8LR/Rk/2kLu2VxSASu4Mhj7Ps7FcjGyfWs6VjajiJo1pmuhXmbMrxbSXoCcL2
vjWhZ5O2NKJvDAk5Q6S3UZTVpJeES3jBRUCJg9u/3kZBX/QQV5YP9qx/W0JpvjDdSN7wpy1nZhvW
OvJCDRgn5eyxZhvXGdLKfgyr/ClMw3iNLMD1HsyMb3m18yh0Q9/GqhEr0HbxdYiQz1e1rfJDT7nw
j8qwhseS7RVhZg7PjdcIgXciL3ZFn9prDV7aQRWWtaEiD1Whc0v9Ic/n8Y0xizwhWeVrt4JmwFfe
7s4oBvZjobiAa9WcPWaV9pF2LQznlv0TeskBRGCHnCPac9RMxrsAgLDm5owDo6x6nT0x0TAGgVLo
G3h3XUaAj/HMcCV/xgHQHFUb5NQibJaWQQYZ4XFVe6bxw0zd8IhDBxgv+cmWe22o4gfJ4WCDGBce
iorncGwbYtETV32uzkwLUKPM61h14ZWscbWOMAI8lWHyyO7KmUdwl2b7JX9YOA5aWpwduyyfnuUY
L7u5J0tgazlua5NjbcAZOfvipTVp9kYL49fBdpi50Zw8MnZgvk1uCl1Ig4+5ccDyHjtTLu9lncit
G6PedX0BWo8r54rAJ9sVWt8j0zAQR8K5uftus/casN8PzDXzioJU8biQa9wPs8pJi82dz6XLO9TZ
KJlpoMTwqDZ+b2OQBwnoMFeYpQaVj7E5X0sU7GK6JwhwKRajxxnXDxvlhe4GNxlnzijRtiXSzWM3
wEmJhk7sdBsi4qqDySa4VM7ujwWICzvFUj5nuMk5C3bWJsllta8o97tvU9We7bDLDjFBTq7wGAX9
zLFd3nLjOwuOdhqoZerXEiqg5os8Zw36L7xiaXrje2ziYRTGKner76KpwvUkwvwt7+cICQXL8LPM
0T8g4Q8PQxmm0Cu64Z5sto4TqcQMmw0AkGI7Lf/GZP1/2QgvbY9Iy793wh+/t+/5+08O+L/9kb9Z
4B3nN4tV1fMM2uZc6dzSXX+3wNu/uYjKLn0iwkScvTnd/2GBN39zdNdwPMQI3HoAI/9pgnd/Y2jP
AcQzTP4ux6Sg5j9wwZvyVxs8NzspDKGbOlh9sku3+M4fOt/gFWlwGoxsbVFUITH7jL7CyJisYlz5
d2XK6h7qyoRTsFQ7vbD6fVVwXILj59WnONP6L/Zo69ii3Dh9lXU7ipWulxWkDgPaF7Ku65AL60sW
+ME9AwohjTVg0kswYTTVN3sRismM47UHpUvVrhQ4RXxvPBloSUsss3WPSAQpimwHSp+t00uHYe2z
rAXQVHdwpYWImrYjUAsUd3/mgFkemQE4zzoolgydO57uxKKHx6VrWgXJQZdfmmU0v1A+4T5hFhjP
1dLXMUzrjvRhqUcH7Kec05Is7kjW5spjy8qW+66EnOvnmo55ZrBLezhwqYh1QKJhqx0kedFHHXFI
bJhyJkBD54XRA/5pL/VHYt9lYCOeh+fYIae2FrSUAyfF9Jf7XTPm41kOhdPdmdLmiGuGNvJUXWW2
48epAYpLOVGrr5K0qLnZUZppKrqC1zoFa3fVDGxgVzF0sVcSgiLuBAZZj+NiFhYzFHBUm76f8n5V
Jj2eDgzu+uiTf82+ZRoEq/1MXAa7WpfxAigz7quedOk5I8O845Oxn25Mid0chjNgidl7MOn9Jszp
pe207jr8N6ZlMXBfUiaMWxm12aFuyWmu7KGdXvQ6cy5Zo8tvOvSnZK2kEugiauKtcSN3KSj+w0Oi
RIfnQCXqi8tBYNiMuQ0s1NULXSHYOc0xLVT5aOO16OEINg3U9N7Qxr09MQ1Z4deacLPwCij6+lCs
lbKsK+bSakfHXXLpCvwY/gAz/puhx2wyEOFm4LieOd6n+RAfPRCQQaQM+d0uYy6k4SLw1IWDN/EW
hIu3twctxduP/ykMlDOiW5eG/No4ylJ+Qbo8W42LV0wrWdi1vRl1E/fXjIgRAu9h8BYwOluYkQ+K
zDklRy0EI9kdOndBqbdrl3tF49aJQOhu1Q9pLBN060WUIXcRBpGrgl1rQG26eZrJ2aQbrA/hBX87
CMV6xkGQTfxi/hh7reHP0DUSPzL79q5h1P55yyHoe7cgdkn9KIcDmacVTo/RjpHEeaKLR6Y/btA5
ymWaj5SApd7v7DZ9qbnLwNiFwaTa0eEMLPEo6CZMDoisu5wTebrTcdK9ALjVt3Y5L2uHltU7cvRk
92MC7VwGw4YSlpFZ9Ix0i4GUW+NLO+K3GjprZ4hhxEROm3Z6sJn/PEZxuu7zbh6wDnIm3RccoVCP
UnHS1c3m1HO4GnkBKwYDFWpJ/YE/brkzB2PwVszi4RnjP87mF2G7jQYyZx70yLc4/2WbAUxlS355
SAndFWmWfIR4Iq+jKuVHlpPUCIBvNPF+nOFAnhOQdfPK4JFRG0/UUg9Gl3QEWRevt1xqSUGiMYpQ
83LSNC19YVbrIHRZPWNPNdnzSIY5NpWz0/qZZd4PYQhrfgSXYcN4s3mvpvpYMl+kGiQL0K0bX+dJ
WtVCUY0uBL+t/1+i9nBV1oqBYzHVD5059FsU5uxvyeP/6W37xE246qof/a8Btp8yb/+bUm66QR7r
Vgry7/f34HseJz9t7//8Q/93h7c89lDp8qTf/vefO7z8DaYpiTV2atNyTZeY6t93eNNl8yfx5RGF
gJUjb4B8NtRbzI3/ZPNJex79aobB32j+Jzv8703Rf8y56a7pmJ5tG3B5uEO5v6RZk1LAe/YgjSVt
jJCBEb1/UkM0vsZDP5xhbz8prdWupdXjqcA1WR8JRwEJBfmegT9I8zdseMM7E49kH2aeWsPoEIzp
PeWDr+k50ibiMkl9uvLX4+VJx/ohSor8eyrlx0hYh7M5YbUm5d4vK7t6qL0xfGqQ6m6mlO6LVdkF
hgyZkRuYGaWEWfYwV5jtqnxgxoCZbrLk+GKlUifIxYoawT0LvKyvHqvKe500CDjMfSCXZGSHpKaN
W0atTI5NMwm6jhmymptHTi7xOu64WVt1713rScsCpfrm0S5sbd2RGVlHI74atyWIAhiW+a7ujV+I
kEOx5fryw+PehHMpij9cWTQYZ7r+Q5Vu94SPvmCtCgGOcsDyyM9YThKwGXKZwEBhfMW5hi5g02yu
N653NzI2wdC+QI5ZdUDBvloFd30/94SdIMIN+hsObqa7Yc0C4tI4V7FgiZPoGRWidGfui6vl3TFu
DKbllosFw18A7/y9E+L/Lwl/EXx1sCmYFmH1f78ibGHete8/xWX/+af+viTYv5FptegwB/XOJNjg
7/vboV+6vxke5Re6aZi3p/xWCPWPJYGwrGEKy2OWTmRQSP7QP5YE/TfCsJarG7ZpGrcV4z9ZEm5H
+p9WBF7B9bhDwODgEvFrrahnJgPp18lZ94Ln3Sc/MX+JTTn9RSD8Zx4Dq6rnSoRNU3qONPm9fll4
Oqmj40a4vqSdDV8HXXM3jAoi1IE+G7YRmJLtHz6FfxGl/R1n8fMv5krAODa1elTOc0b/5S4D6YUp
S4iSZNxSNoCB8nilQHri4XKsMgAqmzy6mEFp3XCvatQhZTVesXwtZ8vY6o2XHiCBWgejGcw1T2h6
QJoeT9Bsljtjyuq/qJM0bhHjX39ePnJbCIFbSXd+uXuljpbN40S7AWGS4nNEGVx1oJgBm8FpDVJc
5/4YOZJeDbf6bCt9+cS3Mb7MEaYtASj3R6RU9gzdDtF+QvL587fT/O/fE+6rSMQEliyL7yTfxz9e
DYF26EyPZrlWTHlPyWJgLEzELavajTEj2slh0TXq6pj31rTWNT3aQfib1vzM7u6GY2b5jIrzPGGV
Neq9HmuXiQFSQQJNYaGWzZC9kYh2t3ie2gfs+dWHioxsW8xNff3z3+X34rxf32rX4RHiCMUY+dcy
LTdZIMyQklzXKo/vZtG6q/FW+hBMFGAhuzE0ufntxFqruvGzlCO+m7woPcjoJBR2k/S0i5qm/k2y
vms+Tu+7ItPE62Rkm64TJ6elg4Hp9LByCD6hB6lh31cx5IEofavFLXkTildP9NZ9D+W3LG9c42TY
1WSA9lmby3uW8+aOlOGCVhWPaKlmYoSbuOCknjpM19SMX9PMR+vU1nr86co2WsjPWPVRyGY59Zi5
IqaGpn5sCx3tG1Os1wcV9Pa/qGj6/cH95b1kACeYWBiWYclfK3KxJ3eZ6GaxNkKrOFdQ/sCmjvot
+LJ1LOOHlo7TWd2qWVYgf8FNqDYff+D4az/suunJ9Y1DgYpmOpQn5DkhA7RKvyxJlGihVT8wdsam
SDJrOkZ1MX96ajQeVR1i5Mkn7dWwsuiuXrBCrfKaidYc6dOdm6l00yup/8UXh5X1vz2jPJm3LQF8
geBR+PkhqF2yEFC/JMDNZrgnkQ9SibfWJoUJohY9x9s0hmHifs+XS9u40ZGhPfdr8G/4gaHAPYtO
zN/bMdK//fl3+l+sr+5tkWUEJCXs9F8ABnlE9UwuiJNT2gMFva1+xJTz2D0GMweO+5+/2L94G1zb
M02PxlIXbMIvlI+K/QEx7EbPvlXF67Qh3J7i9C/Kuf7FgvjTq4CL+OOKk7tpIjsLx2xmJcl3nbvI
HWFZ8LZ2X86bP/+NmLv9uvgylWOPZkd1qf345e3jK5nWtdmQ6RaWebS0YvlcEAjv7NbSr+bUseyW
1UgUG9xf+eDBsAr+/Af4F28p8z3bc2BBczC3f31LtVHUTSwEVAlneDFG0qBTiLj456/ye0XYH59W
4RocHAilsISbOsyLn99TkyXXxWDF0Fu017ozb/oUUe9kuEwATbzkPAE/5RrweTuWqjjXzqhCpLaW
yg2IFM2BpwhkAiOtsLjV4xbNtffFdO3MGrjizPyrTiLkWRXvIQGaN0VlaVE6mu9plKz+/Jf59fsh
XBdhjr3SBhvCuepG0vjDsHIB8doggjvrhm1nFcLN9QndRsEiEar+/KVu7/5PbxvXr9vGBwQBSAiA
kJ9fKl5CWgSU5pFkk9EhnDNth5dxOEZtmW+sLoTBwa3vL16Uo+CvTzVQFNYbjkusrI7gePbz645m
L8zCGMP1kI9PGNaqtRWhOHjhNL5CckZnNabuqkXJHnT1m+OV6cYZZ/M9jUzD7/X4yNnnZoh1fCuU
D11d33By1u32V2+J6qOvhslbaHZvFcHsRB/xL4BY9MknmX6TMyZzxmkvssFGz+3odmBOuGoKKo6S
GYFCE3BLE33WNy1WLKgBIdJFq9/hm843zjRi1gsp5rHq4qKa2CNBg+uT54l7y4pFf5/Z7iNQQXVe
5LtdL5+lvnTncilEUAoRvXaVps5ak5qbEad3EC6p4RdUQ/lt56TbHB8GVo8mT9/mmxloUkkZr7yp
Gz7N3Gu3dmwzai16y36bEhMkoF481fXw0Lpbxe8Jb8L4FiYgFQUEWtz6oDyZs2C/63NBlW+TMSxO
PDAhxICAh7XFvd2k2YMxScKwZkoZMuB79txWmd87K3NPOCi6TWKgNodMuEAUGAMNX6N0iiBkl/qK
a3ZcJ11JcC6dV3UuHwW6atA3ABLprcesCCg2no9Q6uxLGA/Nyknm9UTG3CPGjJ1kocrC2hEghrtO
xNIOUHa9H/No3WWjemoG9T3ldPmSmPBVsVoXayofvhQxxrhi6jad6uEOmI3x0qSpdRmyVrj+XFcF
f1dO4shbPN+zmgux+pcpUu5pQH/a9TUjslhFCESZi1fH0BgTtDQubI0lFw/EIIvPsuNjU60LmC+M
ox8uUadtdAsXcMOtL0TGjdeyqfMvY2Jty5SKLCx3k/tQVUV90bJccTuP9FjgHGtmXAvD/JxHS3+x
wlmR5qQTrdHa+UmLw3pLrC+71+om2lG7pV0zDlr3KqX3M0XSCOi/cnhlWWPeJKeAxKyvle0a71qI
gbXCsHFvtpjuoGffGAlFf4lV/oGneP5Ib7/hqAtt24bDgx7Z26V60snwIW3M5yacT6HmdNtUT0ci
7Fn1jd7e+AnqONd65t0cwF0jcJvMOGgOOOy+b/pg8RZyElMkLk6DoTRrqiXQ69nAdtyWP+C9Thtt
sOdDgXp7LoX7nYjgWwnokOAV5ZQYOM1k+uLQVbezI9iwIBqR6SxcV6qLMSaPmBFhWHxp6+4LYxSF
a0oY7UdeGf1L5GZyB6Wg2HrWXK1JppvkIcfuri1agK1eK3cpmvWm1dxoLSx+KEOX5Yvdltop4acK
aoMwSZuVV1bYaddQNEIswaJ4S5bR1nTGO8zJ3y0RkYqdJHMej0hxqVsTqemY/4MWxY/wTFyMDYNG
uNV1z2EHbdmoNPfRUvNH54rqmrejPIPfrcGEl0uAHXTY54V4WGrduqi44DMxITwHcTeqgw2XmIeq
jzexN44rOlYQcqv6zkkHGt4wOfm/h2RFuMTPvRUTz7Xq5ajrVMOJipIOHInpRtjdzAaBLV8AUX/v
VKnuBvC/98kSYsiYq/EEq57cX932QZynW+Ywbw1UiA0RUzQbDQ9Rr7dBNgCkmbSCbqUM8OesTeY3
anoA4buUCmPg0oOE6qUHUysYn4Vc7eTGKuwXK2wEa2CUtmtQ94HhZGet19U1CuejgeFXWd1+gefD
3KvkN66zi6VPKLtzYn4SFMqv9ZBy0nfHxd6mnengQVnAIEytPLeIRQGdbssOGsWjQQBblLbpKxXi
FaUHp1xqtYYS+wF9/hgbgrB+9kFzIVUR5WBvx1pSSKHpj1VWB108DadSDOHdqKq08QUtIa/9QiSt
bsYy/BpxPRv8mJKPzZzSFuTXS3vsjR5SSWGtpy6L7tWCZtObo0H8zFqw/cKYRm9u1UolXomG3ZX2
Dc10S4+HB44dMKtQ6I6VpQ0PmpHAG9bL8i6mMPsgZFddbdlc4oycTQXu6j2x2+p9afVsC+QiecHE
hsl/spO7JGytV37qao1pTIB6SfItIIdlG5OQeKfQMD00Lq4UR7Jztubc8FzUOJVByWA3TbkO5jPy
R1QV+9oSCUu/oMOmzfRTPtZq0zcs3mnSXlrjRxYzR/ClNndPbu/QtmjENYJYPl9llLlHqNPz0Vmc
9Kjb1oxHuQ+/lIs3v1K2UtNklRvXKSJ5gyeOvTA2063d9slX9J8FuwmtLEPjOq9UJej7JPaqQ2pF
bLfx/KBTZRhMmRU9MNnp1zq/7R3OSHHssR5AcaetIg4H/cnU4+SC4d7at93o3jHIZeropdEJoDj/
1nnDPV7Lz5oe7KdYFAiKt64DvqJrqBsfbiHiTZlzXvSd9ra60HwGwDyvOfcvjpz3nW2tLa091OoM
22BddLI8U2+A8b6e3H5l1BJmmHKdE6br6tovifgUSVO84noVK2x9L3Noi6DCcc3JgISJGIfW8/ul
T7e67eH8s2UB6quRrGE2eXUHRC8pGuzcWts8amKAcTUtuTdsnBpDUmPhctFhAPs59MdgsQu++GHf
anUwldLe4/Fd9qWrf3Ht3nnAEIaMOmnapaQG6rQkzafs8LvqWYvsQlFO+Uhr0L2GKuV09g+g14co
W6IHKlIk+sxA+IgwxR7Psv4UgXAnZwt4kHHUqYvIzEYhtP423LRhMZJ0MahbHDTDO4+Qds5930XP
XDHlrUgvMTYQn2XsO93Q3qMfhC9O6xjXouj1k9mP9QE/8HSapqn77ABKY25s4vhpLPlhNN0W361J
9765EAgOWQKIw4z5c0ZINXtLCsbAfUWvBpkbi9TAZM3vptc5d8XQzahPVlWuW88pr3XpwOtp0uF7
Pk6I3aml1ccIJMC2w1Bd+1BwjGct5EwCb81zCfizXw+MfyoET0ho9ljjqadUOXyya0Px4ecex8iR
ysiZGj9E7bCR9U1pXfykM/OXSnjTa+vQAxu0Xd63EJTiMFynRAcQ+KrUuyehR1NUBq7F4jKEPS3U
xFvUsAXRFpu/SbS0rSc0FLgMcrs/joV3AuNW88MjpWAPW/4Pd2eyHDmSbudX0QMIbXCMji0QI4MM
zkySGxiTA+YZDsDx9PeLrNJVd5tMZtdMWkibturKSmYyCLj/wznfye3t1BodljwYdrcLEHdKpn5o
b1udDjf5lD9U3vrb8fNfqnIUCnltXfVJnByUWl/hSvNCrxUhMWnRHxSChy2OjDpk/Y0hzPIJlQ36
tbuMiIChVARdtaVU15bdCxJ0VboDmYaMyvBrLD9VvByndN7hWGEZUAY7bleQ36SFVCHs7fyE37N9
qZf1pOKv1fEf5Gw9EcH6IVhAkvjx7hbDK7on51Bhtb/vJlMeBrP2I8es/OtyksW4KZus2jSmIHGo
YSFzrlgfb4AxroeqNMi/8kuLOkm6BDW4/fhoDEWxEY20gQK1ljoXNebM8JKL90EmsER4Plvqrovd
5L4Mlsd4qexD49T1GylNK1uIGaEXo6X5e8rj8XGt/G6vl4ZMRazv4KN0QhIf196XUmTzsHRiVeN4
MUlAdrvnTZZdNPbNvUzy+TCZInlDzYaGWCi5JYSVTOIkwPpQtPdewcAlBBWBWQLZx9F36/kFgTOX
jpST3QGxwVTnNSs9K1oMDZ7dy374Pfh/iebDxqpxpEWUManDomowror5smZFqHzrE+OZbh1Grdve
CqprkHSGG2YeHgTcAP4eRNLIkes0NmAFi0wc9F6PxnLx5PoMDZ/ZcTXorHz023bW7OFKBLzciHON
xEhCJ17vSWmKJjbZXyNDx91ij+YH77C11faMIx3N5h3cFbVd/AAM3YLP5mjX0rgxUzvOQ0wyxU2Z
dvFtT/GBSKRAI0I4+l7FEtuY7YhTlchnwjGugBk1v0kRzEBtgA5EodA8ri6eIdXCEM0g3dHUBd59
EFjme+qWwQOBMdaN5cOK4Esmn5ej8L1KmvRRzRWoCopccerxpKMZNIJnMKnjkw95B/P1mH1ysJRn
RGfL82zqLN9kGOt2Aj/qO/htvO51WhxSBB3X5ZglZ7Em3T36D4A+eWsf20SNZzTRwHYMzLpZq+Lb
lsRdXiBmL7Mns1NFwfarIh0am4C6gIOStW233cR2TlbIMLrJnxAgqBTj1pCA5nCYDLKNr64ahASA
yRryj8wh9RmnrL0+oGmHTVmO3vcsOuuSikUAOSiP9p5kCg1XzJgt6whFw6Too5vEUsdQNqwz9Lxd
LusDfJf81zBU/VuH6khsbZPFQUi0i8mOL5nzZyVcGBdSi61TAfQhQreisZG4owBGTunZ8EA0CBfu
5BT3U2jYgigwnfZ3XJP5jiQUMqe5iBOEh1K/GKKunxE/oqwqpYt5fI1pDuvxXPjLPW4mn4d/KmC2
8S0YYSvb+of/63jR7JSUlggOwQsG2KZmeivpPhhpkm0QWFKFxFZBgCZYi2cxCgampkl9xy93n2Ub
I0ReJ+tWTBUsAYOCB8yOMX2QApG/EeFV99tYsHuMCCubswc7Tcd92dkUu39FaTQEoIR9otGk4zGO
WlwVNFUgBrjUNbhMrzoUtmHaL1UcDz+TlSM4tpgc1leWU5E8RWPgzqdAZx5RxLHw9aZEwjxvqKQN
49ZEFS5PAvc5RlXXfVXVUpGtLe2HcrVhBBhZhzUPY7CEfQizjLfdbeWWPnO+Hdl0cxSsq1oQQWVB
uqvqpUX1T9KiC2Oz3YLY1Nb132keCNC3+B3zNXTnzjguJFVBEQ+G52xyocob5KvN3QWQYcjlZ20D
lEv03vPVajTVb1e0025oiTSMNDcsdvh5sq8rv1p/WbUz/KTMgW7M1TW++Na7NxXPA5i9GLMlVyHH
wD/nhLgy0eeh8WQbSnjmu8mdzGumYQnn+VSV8waTRLbp4qa9zbDKnUkdyd9pLWkX/bmTv3OSrZiu
c3D/6tAlFltpz6d8TGVDErlRwyycvfaNrLZmU7ZO/MpKifdqKjMavax5rCcIHfEFkLQDZ/C7tBhA
XfJInNFhecI8c38JJSnQI/FhMwLDX2EkD5n2y6dFLePONtvkRISmuCW8zWDwgZMBVMJUDztdr+NR
V521bY2sH7cQCPpf7PWnQ8719ZLgrx454VOPFKpZDFf9mhcfDeXSdp6b8cCrmpw6qcQdqUMG8jEU
9pI1P4SCaFxG7HzLomN8L37KLblM600uBI0B3fBvy+3kkelqcrKm5XsQ03c/GM8mLcBFaS+O9kWD
Kxvb2TkzR2jj1uqlb5PkSgZtcE2gW/Y9kTiCyq3JNGHaMGLrisIaBIrlK9b24hKyQsjWurTG94DC
AeKdb/8MljsPn5c/AiMtRsrgYUmd1N161kTw4TpltPYe60xAq7aGyiYAUpI+7YWNjmnB1xcwSIB1
i3X+nRmYYaNJwrRfYh/02ejejJzBkA/XeJONRAiEQWGr04Qs/NjD3ITpq99MvgqWJVhHGxqTYu+N
GvMUR8QCs3Z9l4o5XLIPKufN7+V8a3a+/Qq6n++caxhfYD0e2XE1W6ZL9gu3E4rutAOFEGv3bCBl
wPSdo28sCzA0pMikddWdAq8ncHPs2i9dLozbKmXs45Ze11iIm7a7eYzxIKHAQxTPe2AI9zhQ0mIE
47JCyLlwJY+Ftey9fjX2QE4hR/Ue8e+JstrzYBn1DpeZf2x8K0HRnCbisZW998ko46JvzCWUFSOH
hiGGhyru0ztyPYBHGriIfE/ZN3GsojHnOdSeJnQeIow+8BMfcT1ZDktXif9NpcGpmYLX2bD9l3T1
vKtC921UyFUwmq2WjcvdewXK1b6Rk/I2knLldRJefqrcqoooDtqttUzQV4gkCp0gmG+WWRYOswRD
b5Gvsa2r6a/ufU1X7EzzdOr9IPtM+pULGDJyZLus0YosqZ8rEqefkkStDyB1/Bf29Q0tEQlUxGwq
vA4yMZuoxHeOF6geLwKRrGQGW1qPoyau1tIYv2mB2qNYyVVpbVtG/dznyE+KqY5Qso7AJZcq2wN4
GvZc07kZZr45Y79yMVgHqZNQbmlCELMAAaYHWi/YBUSogiFcs/HIFlrixhy6ttoNma8eoBOYB6An
pGmR5tQhKV6sDLOGOxv3Wanzc9c08ZXE47tPG+hh8+x614tTd4dLmBtuXAKzQG3QAw0XDGOct4Rb
N3cDHotnsQBm6q33rPE+AlQzodt4pOdR8XVbL12rAR+kF8HwuPFU7BLfmpoPbePaEcJ3eVXpubzJ
huKpTgOi/hB//nTCEo9+7ziwtpv4mFGCEOc+PYJcI5s09uaHuZrNg8JeeF64SYGO1xfFkHqIjTV5
9Naq2g9j7+2siikzA137Zq4dtXe9dtypAQs9y5A3KD3myUxKAhbjiiSX3t8rh8eIhNGfkW7lS4M2
AOCwRJdQk2jBZhZObL4KrFZHyIgYYPu62PspeUUlgSsNT7idwOda06dRqd3KPtYm4YeIb8famnr4
dNBFnpJ5tm+lGnsMK6D/2tDgJK2ZP+0dZN1gr0yjQ0sLNcZybzuwWWFHJt4U9S4MnVz7yKJHVsst
2qXyRAw9yBdjG+Q11ghDvVWB+4WRJdkrA+a3rjH6Y+337pXZR83gXVvreDBa+rtmBDDXd+kts9+G
3UG1x5173xiu+TttAd/BxgHuOKOgDfCenBiAPReBw1jB9CMWD5GVZQz7JtUe7T7D9Irma+yX8ssG
0xYVdv++rsk1YjqRhEnWoCzDG4SNpZUW14EBQRXKgLu62dHHCAL4JSCbIhxrNlmUHv7JNbD99SsN
soeoNWxs4OZSVKSYXtoJFxTvew3041RNhbOxG4+mXS27hDN3Y/oJRBM0cL8bgBuPXpfU8HJSC43v
TEjfztH5iFJWtw6zlgZznZEV2Dwr4b71ExjVDzSsMLuIPfToewPxZOPvodeamLYVGtcm7y0ZjJ23
XSW49R0LCkYZfabvY8OJH2ECIVRXQRPsfWkdcRIAWuusq861MhaY0zzrA+Sh7CP2Y25FP+eR6jPR
5E9GtuasHIWdBh8JBjICf1zbB7qTGvHJy+hPogSG0vwWBHlxHyS+a4Pfk3kZacV+hAUt9mr3Yhwt
liWaOxismsz5UCXchx65l5fzNPC6ECLgQz5PxSPB7Jy2nBvwIvKVmSYWfMTqXub5b21dqg/dWO7X
n3Su3gkU0vCAunmgr4ssomx2RDNbWIe1GA+5y3VfmvyoaQYnusUYwOG9NPpXBsX9FscoeK1l9K98
z2WGb/h47kaX06o8Q4xc6H+7WzvHPFW1H4BzcbB5863L/Z404L6NBNzKaDw6Ytb4rfBY37sUJDc8
celb3OUdHXEXzkNiAjQTX71L7lGirfZQTl3Gdgn4fpUHe5jB7yBCH9xuecXPsIyQDygzoLl0xwXj
YSIBoAMShBBgI/L2YNRGVcawkUiki8hGqAfu7pobsmBKlhO5jXn14pYfMZUmYblO1fc6garsHZIz
KXuOdZ0S7unjfJMICVGZeGyl2mCYHwPSuZ8TBcRoyWyG1OA5zzkCBrMsbi6Aga1YfHKGZcqQYmji
+JV+AcwDqjRQnHggj1Njj++ZyAfgAED6T+s4oPGf3CKn8AXlCzmGS7dSCUcecFfmBTpPgoM2hcL5
RZvH+VM1Z7Os3cduDgSFFvPTzDRYjrj525AYYq8nTlxmq8tN1rj9xoqX9VX7dG1VxCqLyYbHw3Lr
9dXrPAv7HuxJnOyG0dbvYEyLg6I6vnGgC77qbhUMv1jrURKtbtTkOjBvFqwb8Oh9Pgb0YEa+r4Yk
vrUZDX3Sm9KFEG96zqakZlDB58cnaaS+2MauKJ9p4VCT9v0eFFU0VxCeHFCprCmm4rkau0OvWlDj
1fwyDqhDCYV8ZoG8b8m3OJTskrZq7Qci8jQuXTyKzLhzA+04K0XOlex5bHxcobKlM4EexfjKM/uf
es3OOOMxwWeaPN5+U89ls/WKmSubQX60Ioc/4ZoHDwiPbUBpg7XYaomq1hXIwgY1jLdx3Oy3pSy3
RdTYzgdCzfpXsw6YrXpOdwS41X2BWDHRQVk8IHPWQ80ic3N6LF1hLVEnxuKAE5qu4ZJuRyYGvA24
bv1eMawLIgKK4Q7MPjFwtQcSuivOow+xfSBq9orNCSsHuLyHpQ8AFPWmQuSO4W59WJesPiA8m0nS
TKV1kIVJ6DGRPqwTcO28kjObfa6ih9KMuObRa/FiUBe2cCZWhyPM9ae7sWBtNuFn3HJuGKcys4jc
k13jHHsLew6ReXNxnqljriZiLsnxHlqHbVq6YAX8K4BvNC2Sm0Y+8siw1EsxAOuScpXbjEyJ/SxF
TlkHVM8HG4G5wt27AxUUCMLRuqGDa8K0Z6s4bbpuva/bryHPjG/SNY2o95VxXVwqXkw42QN6veZs
wyPC71Pmd/m6egdeJfvuYuF9cVLL38rAcHEzrTX9njuGsCasyC1I+3ByZL/s8oprdE4OZdlE7Rx3
84kTd8EwD59TcUrvPRtDL1j+y2asi8WvknHDVcwWaNMWQbqpM9t7UGuQ3YBzdD9xlsGDZKp3cTnl
i71R4FjCdDZySP+wSJgh2RsTAHrYYvF67bPUfRQ8n/dpK3iUEjKfZ6KtH1ykWmHDHiri5hmwZ40u
A6rJOZqdSXRDTXzCRhZu9ZhhYdkjBh9/dTFnXWPaLPTnGmVbqM2c75gYTYzlZS3YLCX+iP+yST8d
dLRv+MayW20N3YZ1ohFZCBXB3dluJP0A9KeZgHsvyiYir0OfIBBw5STNxE9nbjr5YczGG8ih72Ty
7Rs3sO94oJjWM02KqnLM71JDVIpIhv7SOWAwWs7Byup639L1qn3D4ZlGaT9MBx7rjvLRZmQ6VzIF
RZAlz35nDvpyEU3mBvsscdMGnyySgTW4rieBBdOv+k8LloLNzD327fGWqD19hByB/6gw8LaPc458
JoXPcw9OqH3k6cp+FXUrXqHXlBvPJ4o9MdxkR+77euvVTRnhO6K/jPXE2rkU5iuqy/G5AM++cWQF
0yBfBRjz3uoiZGPJdwDmZtPGhEYTA6kfsS+31zVouh23Rbn1/H64Ih6upR81J4v1i/jTJatosevu
ZMD83FhJWV65OoGoeCHGXu4QO1pLqXeDM61nBi0EPGAG/CiSxHuxQRhc1TRJh8FIB+awfrqHkpbt
oNxtS2tRX0bQWce/Aid9a/bKiKzva/BLyx1PZElJ7fRvjTfln3ZQMktPk/XR961pDjX9TrvRrI9R
MGyYGofoG/lfyCXTk07iAC+RX8NSM6dxeBRLNZydouncsylrQmS0wLnmGrPauvRaB2gJbNDXwrzT
NvYxeohKwL9Ly23rjWhURMtUD177E4gE65y2DYWI8BnalBjHbIKNyIAfWGLKtXxO+woJCah6tqDN
jdEYz35tfNtIO5+q1ugeGuXEO6NZsktVewHlZtmLSazkLeRI/wli6/Rg6InE4fx+ZtS6s5xcvRaw
4e9cYS+vGKbHbY4Q5WQ3pC0oP1avHCuvXlHaN9q41AdzVZztwrFOdTmY+xIAwB0pnkUUu1PxNU3x
sOtmy4z6aspoVUxOBwRWB3rDLIm61oKQhvzDPZb+0O2nXq5vVdIB6hshin/CoqIeG1rTCEvq5FOe
uYS2Oh5zWUIRN4MHMzCB8RV1zkUaUSvJ0UT2e9XCE6Us3Pe2r65aDPjg24R4dQPibBloTnEF2aoS
9wxbsxPBFPaOmW3OV/WXXdOaxTEhvuGu9bthW+GJhY9ay5MSjDTy+mdmXuMt3BllrJY9ZTTYLW07
5IHkqUlueV4fOjC2TFiSN5mmX6iUviXTVmIC/F0Wix2UxizqBi/ft13zTbgGjlUPZ3fWl+EFL9EW
2tmk1XSd9Mn17DcwiTh2ltXfLHBNiUHQJnvjdMsrGynhkBTii2M5tY96EAcUQ5EPROqgc+jm7gyN
1WUrRLrpwiJLKsY91QBLwjIOKyyr0nYOKtfXTsf0WxMZ9cCoyzkM0Dx2zpigR27XjGZSqfzdb3VP
mEqS30g/Kx4t9l9Pbk3H2KwZo/CqEfv/vjYQb3tW9wT2jMkHkQfODS2wuVtlUpC7kw3PfxRz/6cd
I/8v2cM8Xud/kg1eYtb+JQXt9NHX/Lvi3+zff37X304Q+Q8XHrk0A+8/LWD/af82A8cF0CFME33h
xWX+txNE4ACjqcSRLflSqNb5pb+dIEL8w/WtS2gZgWr8gyf/K06Qf9fAEnwm0Rp6NhJHDy/65df/
SU/pDa7R+pzoWzTKJJfrWy8ufoSkCMGsZcTj/dQUPx24wPCfPqX/hVMDBtm/ySs9TzJWcZkDsV7k
e/k3b0GSuvbqraXCch7032QjmaFyHNBRszuJ5GiROJNT7OCoCsFdrA/L0C4lr1a6skca2h8H3tiC
/JSEFqoMKV8bqRsCTxyr4UDRTrVJEpf5LNezvIMZClFD8S7ubDdGFgVmar96k39lJCORV0NAX1Rr
7tSSIitcvP52Thg84Zf/zE3WVMy3djmOk4iOAGlNV4M+B5MxJuCMDRT3Y7rQJy59/mDDO5nCZZns
M8IncVdiaDj7A/GkzMBybg2ZPyUEEjE508uwx9pW3Wu32eJcvc7tfLgpWj4KYqEEmKbFBMMBW4vf
PGtOcnZk0ycobud59AfU9YMSyW2Gd/7arQk/EZmOQ4u4AEqoi78ZKWkOjjNPXjJECA+eOy3EAKXt
hkzdvWDXe4/p1NkQZJK+jmZiJxG8fWMH7tJuInsy5O1sDONPvFjBQm1OkGKU5GPwBQRtYHY6Aw1N
+sB8XhBx8o+kw3gbANPpw9CQ/UMko2Z7WVoon8IKo8temjI9WbZJ7cpi6dpy6LttA/jqklWkTGUr
m1mr0O5dh3sfx9xgXmfDgnqoXeq7JQEHDpUKlAAzNi5hVJZ1ELbo3PaNo5ZrYObjjtkFaEFqOWhu
43oC4dw+dwQiKW64wYAiaLvNi0WuycYiR4uNSTEDzGRfHTR3iWWTLpc6BQ1cqdUYbyb4QZEztAF+
f+7vg2eaWRshX1lfqtJCN0LwFGpoWhYxLgxtpb7lv5s7Jlm1+HYN3zW3CasPpNdjcJd6M7M7czIS
wP+sdyMXaeVRDYAXYYg1OZ6oyWyKcMA2hpbVZ1nVJK374moGONs1B/a88aB5hNwhEuFzPzB4b7gK
jnE1ED+RwMW7USod37va4kHCdf/KYDj9jke//eSTyR4GyKK3fuECRe50yb48c1T6yg2e4U9RWQII
prad0DPFdIfcgj9ltVKBPojkbCBgvvOO6mO48tbcW6LYmdCJZxCGkOvZAiL1Ja+HclE/Ws1K3JKQ
YP9nYY0rCogOGQsR5csnik2wm3kyt/dTLIJ3oM3prz7j09s6sm9QdJQFwsqAQnIa0X75Sollq2Bh
fVTNODzPSVBaocWQ96PLyAIKW2xUGyF6XKk422EYdKIT38aQicd0bKsX9nfxvbfY/mutSgsNG7mD
xsaabWQ8Mebu0BFT0W7B4FePjdc5WwK6EP8DdWqxKuVeMWwGW1XAW1I55nzuJdpjb/EtnKiQwbep
ie9FpBNTWwpVgb2N4TdZ3NO0T4u0f2CW1y2s+MzytMJgE5fdDqcIpFPaAkYWxq1uNWMVUcjiJdcG
3nTTZAQfebXffJpmX5sbfIbVYe0MClLkbL7mJLT8oyJ+mQQTddGUtGTP3BlVmd5Zo09uQB+4aK5X
Uh7uMyQfL/xIWfED7mWGIltvGzte/5ggvoE/4MwIQt3qvhSoidZ2gHHXekv3ag9I5jnMTA361PHe
Ocz5ibJ6hiuEUQ1NF/2GgVp3SvKCIPqWtHODbf2K5HuGfTcu/E0NtpzwzzSrQJkHRiSmmmNhimO3
2RTGOp3nEXtvCX+bUSK77EtAWcAszbQC6y0bh4lUJ+W6TKCFQZwFE7n8Jg8QqhiubJ8lBl18tPHk
y23M2P11ZmL71SUrW4UqvbRJGS4/BjoWdikk2OnqMnfrdXIUMau70Afuf6YXMtO7xkTftaWmta8a
QMvpfijtMbjShoIIodn2tzdAUTNmKl1ufMzw/OKIlqMftrVVx7uhZg7GUNBnmwOyiqVGuya4ZKBM
OREPDplXHcMBRCIkFRRIINERsMUlaN3T7sB/Ii7kjqVHUYRiCSzXKNerIL+w2iwZ3/Ak9e8+irIb
mHj+Cw1rdTUxjz6tFH8G95x3SWHU3KBFrfSvCrqMQpCWzWccQbLeVgUnNaQ/6Be6SLsuxODlf8GB
8B6XS9x9hkmdiSslN9ov5fc/Wk3pPeELEDMzNNzbCT/0WVazQBPDgsBGLvmrbpKLSE42RCf5XDuJ
VyZA2er1VFk140BfDSdUl4gG+Zt/IPM7qzkliNA3iQxdhWf9BnVYnp1YDfNW0R3Qg9iZjwSzdX3z
ECfanC8BB/GHmWiGTMobC33deCCSQF5N6S/kxyY/aFmS/C6XBapTC9cbH02qX+3V9p44ftu7hQHF
HpeYfiNqTlx7VkLWkywtrO2KaIYQzoTvhYnpQf2acp/oOEsJIBcDnHFeQ8Ps32fljnfoEadzvMTW
nekPyPD0bEQyzlb4z8r+pHOIWUuwRd8tTbm3GNu1cKjYUIQ9erevldFiG7nd4LsROUsuKoHBs+4z
p1M42YU6KjD55XXHbOLNVWn6sxYxiYci7ZjpCBasfHB5ugJ6HHEuEk61OKjzmiSWrxpJyQe3S3ZP
c5UuHFvIrxaU1D2B6M3YIjgOu6Hwb82YKz+iZydLpwS0mUeGTcbO0Ct3s9jlwEtA27MMBplSRMef
m6n5hTKE+VGP0yPNRRNl1aDTHYUBEC41Gj5Iz9Tx6NltkP2dBioeVbGT79p0QYdZ8UmIKtYwblsD
L39lyc/OGu1TnXrSDRk6A0WPG4Jv0Ht418oRb5jmu+disZ3fsrCCEtsNj9k2sAZ0psKiSGDp6Y8/
IM+QsXTKn9TWyVz5YNpeEu/UZBOTKtESDJt0UTlvp60AxbEHQxopp0qh+JQ5WGmJAKo5gQZ2fs1A
Z3GaIMGhECodLn1mX4e+NEmGZB7IdckFL376go0m53SZvGZ9zerDUM5yS8wuybqmribg0hheQ/QH
AofGUumrrMuM33HWqws7H0wqyxBpgvgoxne7Q5EZQnc03hMA/15kDzpHiGdzCgRWBYdJIEt6rGWL
BjCZWmoTR6zz81zgZI1A1aMb1zGLg5BHgDE/aF6d3GjbtB/MulzlDhTfXIbZWnZQlRjlHEfP8r/w
+bBddNg4BUW56bs2iOxReDu0temvebEuGj54jiFkIxEWaMzCySRWkVm8BE5NxisTE2F8apG0byYQ
xNEFAecAjMmDVYbJKEloJc34YjPCtbC2/GFtYt2qXLKa8y7ER/Sz+Ij0psqW+pAELjEYOpfOfd4a
xnauagKHhr6EBhw7XLlTfKeJXMKXxKx0J/vqM1gt8Ysn0f4hsCPf9lMGU7pv/ODOV31/nafLjHMi
L/2HVeis2ZpjkD4aWlQ3lpr5/HgpXmCtclyVNqaZvQSt/yt2QDkM5FOj4l/dRW+Ulwzk0+lW/TDX
U59OyoQ7bOSQVlFDLA7eVrqbH1ui4SXMCX2u04KtCJvBchgO2+TWWgYJXonFU8gWd67TjVB6/skM
dkDt2lUAmjhUwraOW7VhKMjaj5A39oYxtCbroBwbnhGARH3l8CBS9JbVRB/ATWsWKWYH12FqxTVW
d+W5opqvNgWkbPPo9mUPqM/LHtuiMx4avbIm9pEboNhcJQs+/HOzJeeoCXKszG6nZjMsaw+ZZBlD
p1xAJc88xF7w1JAVamMk01SCXJSX6IV+Kp0NxNySyQVLW7SSbUeFZMC7eZ59p0FjVlXwws0C33jR
koSxLqQIjEMdDCy2hvKXJg1hQCar0u8CqFUadn5MVVQbFSWi8EDwhMlsNS+mssuneTDll4VK8TBr
vbRHLF/1a01nTAK03ecfOStFc0cb697OUPdEaBt1GYToQgRUp4nyMCAfHrFxDYttA3jP4XBwWG1w
DTfdPZKXfIqIyENH0GMI2XjAUJJocHrzDmZ7B8lf9qD/dO+YT37d2yx1y+96hZ4QFmxcGE4KIqHD
qTLy5OB6ibjy+tk9N+NECZmOcyCvskqaV8Qc8MDFvPnHMSdlZWA6xmancFCQEzm3hNPS5vsMZsQR
yhDyVqPJv5j9mj2T40yc6JLdeyShJyFXM5w7QJyWtZ6XtECSShoDzGlv29gzgx0HmmrDbsoSCWGF
FoG7vAC3GTQB9C5jiyoYFX3jU370zTSAgfTHAnc5ZBXEHPkGg5QCADmbeHj6bF93or5HTFTdVbrH
uyaoGtFa6z7mj9FOed3UItsaLG3IAwG7QtaKdwsuZ9gxqT5gyhCg3udtMhQzES69+WLWlUXqNnRm
RD3DrxpFXDRmlvcweVJugzbXO7debskyXOaN5SoPDfISHNlfkyU4oxqdOKECcxPEXXYSUEXZP0BT
35p9WZ9RuQVX64T6KWriAAUlh/e3HPx9h0LuBxV4AeWdieA41cEbqZXyymd79mp1XkJYHu0ZWc40
ZyWQ8tFRbAvbLEauxVcsjLvVs0mbWGySUriSh/ap6kfzYHUxUr050KzuK5LnCEZQ4RQY7cH30umZ
0WXxHgOIn1lVaONnUn49vNsFbRAFQAYiq46lue77HJEyJ6m1bMY/wK5MteWXIaB4aUwmGUFSF7hX
/gf0Jf5Avwg9AxmZy+AeYAhQMHHhgyl3nuhxzAs2TLHoj2kzLzix4nJnIhsFMmb/AY7JmbzADTXS
cNX+OXZG/mpv4x9QGc5KoGXLH4DZ9Adm5la0Cdj8bXTaVjOwfmx9hfTAvnDQRuR636S1AEdzrKDQ
GznI4Bj8wadhIxuSCHkwRfRsl963vLDWsgt1bZiH+QxGYkV18AfLpi6Etr66wNpg7GeImCG4jReW
m/MH65ZIkyMxliglErR8WCrbgf1TVvna3WcMsom4JcLaCr3JMq9V37KRH0kHRJSS9nrXGAtpCnqV
4/7/yuTz/z98VuDJ/+189ObjK9Uf/+2u//j6HtJ/gWj99Vv/GpJK6x/SlY7nC9MyISFKTM//c0gq
bHAu4BLAZ11M+n/PSC3YWvwGEqwdIAjCD/iL/A9ajviHCXIGsCUSS3zvwX9pRiqsy5f6Fy+4hxPS
oxthUuo7pu1ePNv/NCbNBLz7tViH3VKq1NmYPc0hpov0Fuyb+ZK6o/glu0QixFj98jqjLxBXsmYn
Jucsf8SSl8EkJngJ+JZ2cEQVwdNaj0FLTG9iedccGCp9SRjxa9jnjXwhaI8JR2tZm4UMKAZC5UNH
NfDsu42LE19Nt+SsvlClIbZu6/kpA/FFVkBdfynXt297swJH7bSSQc2a4hOv1B0s5nLgKnGXJsJ9
U2HqTo2VtlgjwXP1gFhkpG2DQDSzIlJS3we4CKGIZJBkr6y+Iz0bhP/DFAyNTczcWj22pmT3jTFu
eqxEU3HuOjPzmoACmoGWY6XTkb0hamt7itsvw5BKh7qrmQzaFZf8tVrqILiaYgu4iebg6++1Ltov
p3eajFBGNmKI4pPgC23w8psol4aVCrkU1Xb04S3iIjE81FABjb7hFVZ160q/vuix3elnvAjkuByr
7r2klXtqPItgoj6W95bDUTHn+TFluGtctUb6H+ydyY7kSJZlf6V+gAHOFAKFWuispmrzbBvCBnfO
o4hw+vo+1PSujk50d3VtalWbBCI9zMPdjEp5ct+95zbmvi6E/zV1qdsfHZ/VyqqNuhaDTeLTXpSM
DeWFFAXvrAxS9RoA49JJM5lPWN/Td1248Y8mr/w9mjK4KUlwB1spcHZEyRC7a69sBjL5ttpXjOmC
Qr6u3PNdITylPOhL1NZgbWjThv7BPh/WMZHKs1MgEXzMPBwPWUa4ANNoZV4ZHbzGGhz9Ws2IYKsm
grcGQI4dVqPLblVQD7Rh0vcZKYh67DOMGVdg9eOzW+XfeOcpearaPKZ+qEZKTePsUUgVc82lTMAs
+Htz0/bXmTFbyTp2x/oTq1QEeVU7v+OiFK9ux02b2LDMnY+k4cqMagfwRo9f1H6ZSFy9cchGNoMh
M8EeWJtKNopMx4lWlIfGyVJkZGpTPW8iIE1O6b3ripSKolSyF57mZN+qQHAA2IijGBOLNxIkWq8M
22NrRpPcGK8Dl04KpHziJusiK0bmWTK7zZWsHAMH3IzSNhWxPA/0F26oen8QkGnoNrfcdu9mCmut
Ez4Vrtu/dy7+I7Nh0AFfLjx6QWCig6iqI+EcTIx/nx4CUvKqkVDTdTomWHS4tGKNHSGPDkczUKh4
g55x09almVZHyxaYXJuwT97kkI6YwKxY1bsa8WM8t1NshJskH1qK7YTtJDs399nQg5+1biWWvADN
rfPfHdoVjJEYSWBE+6jU7qvLRtO48VyZdLvUo0JqNy6rFUBzksKZ3OfGuBumkVVkhoU2X9lmRXZs
RWKgGiEYYHe6jnrm3LXVZiZOjJB/6yERQ94z+kXW8Kp4usTKDOj92UWxQVAgHRgg1tW0xNmxZ3II
J6l6MjOa6lhkxe1jLusJmwxugOzX0NNz2Bc17mrHawiFTwBEXrCMsA526ywnYKjCDr5w1DVsVFvD
3MQUbkkepJlRSeLaKzDVWlG/KefiN8j2dl36zkDTWdbk8siTyQ2KeseATFjn3nPhq24qeBE/vjFW
9gHCCq3C2vW6L+wCHRVoCSolY9vYs0EKqfsJR5sqetd6bt2S6dnMLXdX5C4DuwlYYJ2IJoC4yV19
PUPssDeRV2YItMmc4MSB6omHIdNtjaUVF5OVNpHBLzqIrsWYVxTuVd3w3veVAKDgVa81vR4oad4w
oXbZ+RW3BvYnDCPjlvdQbGxG8gEH31LDdR+24V1kIF9B4U9YWlCFdI+bcFq7SWU/ED4kwTawxmE1
Q3fzMUKUoRqlwGxrtVN6Umog80029smqbOe1REndWR13z7kKfe5KA3epkiOy3I6GaX6NcV+wcbHH
jPZAKmW25LX03px0eG5qaj4qRAUkirrUrEGqhpx6rT+R2MYPFkjuiyQMfPR1D36266MHTstU7Fsr
kE+1lY1fLXPrD0ug4WnoymHXe9UjJs4OkDy5GblN+voxQy/JqHtNmqu25XK4R6WMD1bZOpsSoXff
V1WWrj1XEYPAYw64WBT93K1wgb/HAYDHjUZmPeU+ePWQVQtxrdpdg08wD5lS4DyCkiVPDe16QD/W
zrboC4EFragPJTGhbdexgvNk67AkJHyY7SYwHbxcY8bXGqq+jjIHs3EVW815Kh28v7Kb6+e2GAqq
mUa69bDUNrCfXN2f8jyJAWwFwoXLaBLjJprq3vd6cq6zNg+pWMpthCNffHM0d+eZkM971iPkr4YR
aHwz5vGpxGTMn2XiReU5FGSVFKzXXD368JY/i/ooh9B8yS3JZRKEyfxgU5N1TL2pUZvIp8oiyH75
wqakPJiz7RCVqbrhp1e9myQ2N6OnjH3WKW9f4ybZkEj4YZM03yUoNTdMLuRAwqpEPGQP14ZGin+0
po23sjR5srCm4ZRUjLOxzNS/N5sFMFzqcLq3tDE3j5UsjCvbrbsP26p4wGJXzwgYNY0bm4GL5YBA
CyITyJvLiqeBNlSEvnP0kip/q4c4jm8nVyEimJlbfZHdU9+Rs3gqQHQC05a0diMLcUnMdlhog8fQ
ndDiyBUHV41gC7tifcD/TolnYOeI8WCvTPr2eu60abX27JZfzCPl3buZXWO+kLyZ+eFaL+z+KrVV
iOs1OV8Q4g2DGfc8b0z30zyo314d4lLMe/7ZdBL928MgeCwGrzkPkIcW/3Zzn9c1NcEymFrsnHRs
PBdVW+2TtpRU/BGONv3Iv6KEiN8I3HGBWlVAIgx9yWHDLbonvQGBH+J4wi8u1tzw0GWlRDSdnPmz
DfG3by/RbRr3om8lRzq+pOwrnGDChSVnj8tN1jK8DtpABg3b5ssrOD0NhRllIKvblkTGA4Mp1AAK
rDGXpvQvbjBXsf/g94TXEWb1R5hTP7f2nGrYcdejUDHKe3zxXtss4Vw/xnuPAYKVrHdyoyj6dEBB
bbHCLjlHUHWnuG4tj9QSqkbAH2kb885ceuDM+lWJuP2ezZqAnlMH3g0Owt5YhbDlH5J6GpcdRwV+
SvNn6zowLbVI+3Q9NKk8Vu0cO1vbjes73vrTpiMYMx8YduqGzVgUP8NaW9478KpcaeMB9MsQ22AX
MTRtpjrDLuyMU/sh0oyjRhghlSAEXCGc6FF/KlV72yDJZL0uQf7cOqnduQTOSnqz2J+YJlp7MF4r
gsmUTnA1f45nFT5hmstpXuU3uyGQYFKGM1IQOQaj+2aGXp885qMO71qX7eKWF4xgS25wfCzLM3ZD
nMx3FbyGq4ReBsI1pRIHB+6FwnOVoJbGfM8OZhqCRFDKxWJqdcE9Bn2M66Ia7EefU2fT+LEmiqTS
R2eyxd0wxcxtCQuF+4JVf78zw9mTjCSGSbMQAtS06miMfOx9IF+E9nyGPJFPt57T5t8Q052HFgwN
J5FTx6x/WcRvvZ6IIm88mFKFJNAyiewXqg4RiDLxnqGh19ZOmob/YOrB/6hndiXrMHHStd8uXZ7D
xL4sIUv9ngf9fFeanfFVizJ7NLEdpydbqvJU9VPwG0px2pxnzHPRapZe+eO4o3rB/zcdihnsb4BO
lm7cIDGztRn0WbXzucBPm7TiLXRo29I/TCzhnv14KvptIRu5N5WnTmXShetgSk2WwF5DawpRGmCL
Nu5FM6faCON0P73OgqoD8ic0uQVslQIcXik1wgB4zooeeJwvcdpthypOT2MszSMG0bfRJH0exXW6
mWlh4g9itx9RTeyKo6m5GhOA4BC2ePO4sUt3ZYClZrJpWUsnMkEmLy+EyeTFzi2xcjvUR55CgO4y
/F2DXJK+0x1HOATbVqhi5xrJuBdDUu8jHB2/Ira+t/haeP/RVkox7Mjt0FDuvi5VgoeWRuYNSTP/
BrBWfTcuTT1t1sidNRnVAYJOfmrjQH9TSNTcBwYF7IDtGY2QMOsndJV456N8HYYijD8YZySycPKQ
VryapeYPSr0zshsA9lXQ19Gp8egFb8AgECHU8sxmhZPawIg6pPQvRb46AhighYaTON/21aB+8hZg
+zYbCnEkYS8+yN1ZeAdbX10NPCBgQaaOaBDlvW6dQ1yVef85i/Znbggf00oeLccpt7EmqaKjP3Ud
G1l7Jl8cxzvK1bnVpiw9rsOUzE5CSIWcF3WZXYyylkajf6/A3Yl1O47dyW9zdTabhMoDiFKYu73O
vPVmDwOhkflnp46eeOzvfTc+9aN+cebBZeeXi5Xwipm9D6tRaQ3hih/nUtQZU8JHUi25TgxFNJMO
cCgXzshWkkrfNbdPsBph1T77pho/0yYf7/zZpoTO9FV2Pc1+cPDtwT3WtL05e3OUNFKbqGGALszb
vJHdbY7oto+kOmjL6ZgAdUVzc+HoD6bOiOYuz3uTU91/NbO8LpOiPckiKzetZRYwN8CBfrHCM79i
xg1AHWO9m2CIXjPozaeejdtSfaAfy4T/NmwGD1eQrXdtEcM7cjvDO5Zzad/UfjA8kSihC1fmio1O
Yah3FE/vSll2v61Kjbo2ObBjgEnsijAYaYKMhscoJpdiCmXuBldwuvm+u3MMy38VVbtAVcnWLj3Q
/QzrbBa0JY1Buy37tiCcRa/1tjVaaC11rivsNXagOMIBY5CRoTRopQwa+lgz0H+dGLr/HdCNEzwF
8Yjx17KripuJgnyhOE1+OtsYnHVOYvOQzWn1McYd8oR2bLwrZECa+K7MGvMlSvua8Tsv79A47Q+b
TuNbwuoWpn6jZhHmFqTBGn4OR83tZueD/KI1kxjDC9RxGn8M0dgsXBpZVQcQP2LbxGjtW1G081uf
NN4xQAE6jlouBd0Yq+/YItr+YRFIPmPPIFOak85dubSCsVsHd0m7E62Bj5YkgaSG3l1zvjSPSRGo
T5uow8qQVnmwvfSjy+rk5EipoF9okO3mgM7Cva7ApBLV3lMbTIoej9mxr+NxsiRabAcwwJb2TCU2
UX1j5wBRJ3m97N5eqJCzzX3DqemwwyuWkRHr69DsUhKjfCNUSMNyJLF8rTLi578bc9Q3YnajV3Ok
BGqVTE7EvksF2VuKj/YKBaei8CBrWdLZePiujCBzyqchUvMjdRC9fy7HREl610bApXMyldt0MIgV
o0rslRO8h2VbhtuW69veQZwjLzCnRFMdy5uvuXR2H2HFibUbBpTtPAYYxtXMeGoEMXbDn+WaEdIh
jFb3H3zk0u6GV77vnlpdZrfwa93vItPiFWWGpSTnEZN04+2rvGhuvLBpv90uJqiWUhByHltt7aww
KX4I0RnEs6GVkoBJOnxg1syybpWHoNaY+BAMENntTq39ZvCsDe6m4TrLHblcC3WMHlGwjV8JDDPs
0mSlh1XTxAMQV8le5kQCwysxZIx83CXwePIfJlTDg+Qmlu0Qu0WxJ79gbrrcU4T6uka/gXBaRmVZ
Q3FIYQo85ciBHhbCQt9WXF/4f8uOlzvkq9hfcU7nPhnB0v2MDQnqUdM5ts7ZoDHhcERNARu11ZKG
uBrCZinHsJpXzPHijTwaHThs7Yy7WhTOxKqMzel6YHm9gw/LCJsS8TwyiUMuoOq4WMP0o6MQuLHZ
rptMNSyYExF/uO3U7Ctf+zcsTKihtatS0E+K9WTjpcL79tE/jA1VV/nJd4scXiMzz1smDbJHlq9p
hGl9564EtU53KQsDnmCneKjIHB2GyGHlnXTcPdZ2GFNGizmsOlvZshCTbcmHpMQoTwqkrLt2H9ml
0bOcUFHZHLOwi/RWl1a2z/sACFFURON77y8Gd9ag8oXWZoxePr4R/tbB4hixcwWzGfwMAlqPQ+AT
wrT1JALB2tNVwmdOyGPn5MueDWDs9dmnTQEQukVKRcCOUIVprMsek+1VGOj5Nav0kscpM19AwRgD
z1q55ojjAC/Uvqxs/wpBJEh3lXAqXJxm8YNL0b5my4ndlXJoljLYAaHDpTpWL23oZa/tYMKP1FOE
8W6YBV6D3AgwH+D+o4l54FEhGhHNFKN2gjZL2iHCpzLtuM2PNq+fybeyr2ga6CXSNtjmM+8JAuas
WKmSAwVdWjR9k07exyLsndNQ9nreAHwMvjtPd8+FbydcxlJy8avcRtJbpSog5Jj4aI/cBYx8m5MK
xstIz178OQYEcke7QytNw0zcZHCSiGHw/uSFncW0A5e8/2d6CUGXbbxKsT4iNoRg49PgZ+LB72lO
LIsRHArb83efwr/NHLT6nU9SZ587k/BzTHBDnxvTxhQ3GAG1DYYj458IA1yyG22dMexFFb4xjiXe
K2M1UjSdOb17RdfCbK9MqiNAr3BMuqRGwmHv+lgIDXsJhfWNOZ2nyqATiVukQZFgN0IkJHJWLKyu
dL5nZZg3e9yR0FViqtk2LaB6ve1TN7oeRiMa1p3K5m1rZtifBppfeKGaoYIdwLuzX+GwI0kymPo8
DR5hRaPllAEYCH1unXYmYpIMoINTxxqKGzkrpvuCk40rGC68TZRleEsEvDOf5EpMSZc5xIhFU80f
ODZGGV3DSPSiXVFaIGYM8dCJwEJ5pM9j5RIfHwmGUebBx7hoCpAxTUccntdmvPJVa9zHXDXEi53O
0zb2CUSAz1L0ZQwWVEiu9W7626Uo6KNgIPO2WUo8DhXXrfgeQ91LhiB9yDHSHkgzJ/0uycfgpWEV
epqnPn7JyoRJGktMdle0xVtjONG2ToMgP2YcIttI23gHWtVT0jRG1ScLHeOnTpvpKStCbWySGrfY
CmOtmk4FRyH8JVGUACWgBR7aYdGyCTV+M8x1X2YmyucZHhO0QvzO7NaN5MqwWDatVb38jVSknZXj
+yyzk8L9ZRntsEO1cHYjgsIJScddE1LTd9Kc7MXfUTvWag6G+eDw4D5Ap2keopkFLgWTVrpJ7Nh+
7Fo66hH3hXrK8cyPlHxoahzRV+LdPAQ98WAYFsgyjfTnXeRiij0IHl9cyzUJJSi0yZDdIDbkE2Fp
q5/PDZ5//yBHWieuUDMhyKe5bR3VlDwmLfAglMTp04xSqH5uvWlM+KLAF4rhm4UM3jJiWm/MZCPc
WFpM/MecqwlW6JyFd9r58VMHWvuJWRRrpRkmgbE2WUUZjG0t1cWBWf8ObSZnNi/oAGshzfKXLTOR
rylsKzaVPyL2U/rVrmd7dAiG8qJnouz88r/3s78qBdnsP+gyoXzDBZH9f28yefgEeKqSz+rvq9k/
X/Xv+RU78CkipAKCa0jAAvYfm1k//MtdkOK+RymJ7wr3f8VXHJO2EtavPFr/3nHyP1ezzl+mSzaD
NKhjCsv0vP9MfEX4S0zk75RuFh1hYLKFpmPJCYT/Tx0jtUmRT2UouTNLnyZ1I1peX4TbeZXJsPaB
Py4vODn2EqTk5cXX+vZME8jyPpRdCLOttGNxsvvc2Q2Ads8+15N0XV5epsHQNZiSLy/ZTJe2Poe8
esGA8RLO22BQ+6nD6bzq+wYtnTEeRu3yDtfQVTq2bJV/TEIaiLZal2Wz9/Fuvc/piK+FSN8Yb1nK
1Ph1a9iMa7OK4jMeO//LaVsIEgGHytiH4m7Oweq0hBW2ZTNT7Q6kZNu0On/obeZTjA7G53Q5nswi
8r9KoEhvto5xVfLa4RgrIbgk9ClyuvVmkL0Wgrj6qr2cfM3A5XYPVWp8lMupmF4OSHM5KwFWRLjU
pvHdES5H6VCZDcKX7ExGucthezl4WTPimCsuB7J/OZx7Bodo1XdLdjKG/HdbdlYLcNrS4XtzOeBZ
NnHYp5eDf8hbTQ2U23U3DPjeu0CUZwwZEkAeblgtQrBTkL64jBQGeV/nJHqU4L2smBaOtVV1ay5L
+lVrlYEOVkpS/p0Xy1V6JJHZ0iD85Sidn+fMbe6KZahJLGt8DjW7n2UkYuoZxraiF3ZGeXeagYwM
FLSXUlZM2ZdhqfQoXyQf1GKGp8TWe0kukxWCYAxfLCRx185u/WD5cdaiLMvxpR9UcVc1bXKPdp91
u4iB+8AKTe5h+8Zv2T/GOm5vgUBKWuY9Iirzq1ZN312R5rYM+BrLdEh5zWQf6EPPPpH2mB/Dyyxp
BQ3aCOpFxc+Mg3VVYqF4YpPMxQ57zAR/1M2Yfptaqoj7+TKyhpfp9TLIapCf75mvxJkbDLfx9DL0
9pcBOAknO1pL1orhol1Xzn74x5Q8ZE6zVZfp2cQ5xTY11GeaFe17zNviOc9AmoU4y6E8VRICUtiX
8x07DKZyLsT1SlNVfkiXod1CwzyNPTenfcGBh+mPyNl7Zev8FFymfqsG5tQoM9hYl1tBpx11lUYT
vDhzXMyeACG3XCv99zDOuK6UsEo5rbSBxN30msJjbl9c0hElj8IZVbarO9amZs3YRiLf4NpSDyp+
cIlMAytJsvDNHNL2NTML8eX3wj0FQ0/OCDiFIFfLrcitxavuU7bfeOxc7k+W+8nG0DdvY2Rqf0uM
gytWuNy22mqmNCHX2r3qeq6PsAbwc+yc5Zbm1Yn8SrIYon1xucZ1lyudnc/aOUCW4KoXoxZVXPh6
5vjIRx0+tZerIWMO18QEQky/HqlhTEAEXa6Sl2sl/gH6FefRtTb4Rrh4hsKKkhW7bAbcxFQTB7gZ
clFteGA/a9dIP/PLJdZe7rPTcrPNljtuxSd8XgVwFL+RbOqbYLkNjyaBJ0rX4G3by425W+7O4nKN
Hi9X6ni5XRszVOwM2h173To8A0+In3miskWd56m8XNI5TKb3XE/FDXYZLvGdSdCXdsfY3nuWqkJi
2f131rkjLRNy4bCiBlQXYUBnFlmC8iIYEM2bH3nZeOUTZNroU2SGuLEvOoMftN2VxFr5hiiIDkGI
Ak3CLErjtV2ECsY78zcZBNQLkTUoGS3Ob6J5aBwmkKUf5bToHvlFA2E3Sdmae9FG9EUn0Ti2g4XY
wsdsINpJLcZFV+kWiSVYxBZx0V2sRYIBhUK350WXkReJBq0mVog24PvslbIb/Vksko5exB17kXm8
0YM5c9F+mL4AFHAzQxNa8k6LPxMoY0he8AAzjj6S3EBJ6pmKj2TakZcWoUnRWNEAXB/E1mrgEB66
SLnpowlnyuPfjdKXlsGRpGUiCiotQ+eYjza6Vu7OjUVozbR+SMwEt6yJnA/D6Ms7km31zmkRQwvU
tfSuTBTQMWXHoFgcb6g+4DmOBxoBR2etF7mNCz28hLSrxdaY2xBCRV8MwVO8yHTc7OySVQKuHO8f
Op7ERLWOMoJ9LgOywmVBWJ0gW1CyuV20QK+fRLv15uhOX7RCoGfohkIFvLXcRU6Ui7A4OHl0YOVp
7uwyLNbuIkDmixRJkal9IAICt38RKhtL9IDxES+jXOl3OckBRm25LBJdnAEUHvA5pEydZMTZ6zsH
hqT/oNkGbRy/fa1j1pOsAOBkZAAn69SLTqnTaa4u0v0Zk8w8Uk0o1sBWyBv1zbRxpxSpFiZS1Aa/
WDB+QcEy9lZK266KcGWtNSE1WkLj0X1VeYpqWDfID+x0JGt+u3YH5+j6Xu6sJzJHzXFw8RThfq1Z
ejsGeU4028lp13FQaFCzneBuPSbiB2cz6XrbUtZLgpI3rxrW095h4GI13sw8Pj8RwTV4kD2jjpug
n3Clo2vHVZhv59DMDmjbxtbuW6w2CfsYwI5ig20vkJvCSbNjzeZ2m2RZ8JADxyE7EBUbUluslURq
/xZppN4LAQ9knCf5ZbBuh2Dou+lmMDOW9q4X+TcBkQcAeAQltzlxBZK64M3885TVhvHsshclxT/0
ab2m2amtNnabAppoUZntbckDE2/KBmlsCzLSQTzt4vHYpIZz03LrSbnWEE/akqnB2hskeXYMZ0f+
Ei0dJ6VfDDw7oimOZSlpFOCN0AdIoKa4neEULd6JLrweZriPJva4aa0snXyVjXSugDEaOfG0RH01
tsLposJ6+oAMrbIN2+zFcWuIGdIM7tQAccvCqgRqjTmUYNRMr5lHiAagV3ZtAQ5GTM+dADbjCFuw
RNBv7FrgZuZG+cIQxTY9Dy37W7ZT96bJ6F7RkyBI4sA/IWeGtHFD+nYxoYQdClJgeZG1ko6V3erA
QnBxfE+xMjSSeWPl4OkoPUhLwgGWyPBPmVSsDN1y+iGNoNSPJv89uyjna1bsqb2myEFsSsI890M4
1y/OxfrsibQ+Ctbsb9nQ6uxAtXZ736Oh1xsR2x2Uo5Tf8pzWrOBuKYiJr8dMsoBzuPV9en7Y3ttN
6T9EsgvAl9g+uXII7cDGS23znPQe0cfcKbSJkJlt8OYTwcV5NMCE8rp7L4YUC+qZCzfZFFA9vMa9
FwK8bEGhGCMnUh+Qt1uRkEp8jb2s/mXjJUNPUBOvi3hYpqMM3Bw7Fa2KTwaF6IG68Ck+C4R7PPEt
5mA+NpCvqNtNA/ZtVNHgX+ndCb8FpL6XPHIBS0Wc0beaGOep0n2/5SPQ/Sq1Zz0MOb7wjdWExX0y
j8az3Zrhi92P3t7uw/CXJvryPBliOAnPM94n+otb0G7ZfD/UmX7n/cu44LbKdtclqRTUPpcs01Ca
4miyPX6FPcptWnPGvPqw/NSG/ACOpLgws3xfq5RNnRuS4lrD52nA9cEYhcRjAPTHxEeB1QG0cHnl
B73Vruo+cY4El3xwx2bupRvM6kiCbpK00z5ywANfzcrPT552p/ZILgu1JM3gqm+gM4e/+6ovv2Un
gHoX9CfbW8ld6sWFb8ySJhnGjj7FBEsNiTAo3FcpchN7DfYtFHLMw9ATuiNRbnzWnQwAZNiFqDe4
zTyMmVU2q3EN3KyhH8T0a/HGhsUSDx7auNyHPGmNS/jC8gIopPqTsAAOxhik8qAQrSk6D7YxxhRA
iwBKjtD67AW/RS71jOKId187Lun8GQUQKzz2Hbbi3pPJeQPWNpqie7LObXFXABkB5Jtj27HPOFpx
49GmoottKehUsE0H5PzaKXtoBYRnvG5KcQe2bXudzDXjEXYizVrWakr3RuGaj648S/bJrRgC7RMZ
i6LhkMlUbUZ8UvcqwBZ3Fh4zydNUYLjfhyTpnJ0c5yQ9eqCG2KbEbOsPXhdN0w4rwiQ/ynkyP8M0
y4nrTtqLPnI/Jh4e0PgVnGNKGSO8nVB2SAz2EmXeRodMWZCBfEkWXp354fi9VIiN3UBAPmoWBcmb
wjPHdzsccmFRwTKVFssiwFeHmnjiXsWKWcKO/PExqVjBHSE3Z+Yu6VCaSPxrkCS1GwzBesYTjM8m
t8HOAE0wNioe/D2mqjC6oqtu1DsSy5xdRMqC6KpqKem1EYbJSIDy9lkeEwcs5PuYM2437TiV1zDk
7ACxM/HmcgVLVzRXlYlH8RCJMIFT45VB8sIh5csjbgKaorQ5DOd+oB0N2SuVffmMAOpmXxaf4fo+
1mpCg2rIE8JbR882pd/fZW0YvmcMdyxFJtUEG8lfhyVNl07zwYoFccfEcOdiKyIvcFezEahdYHdw
M2fRGae0zN9Dijuh2lisFpO84Ux0o+bDcMYQGdac7yi2esj61tSshXJCEUU4kGefnZ6Nw+g3yQYW
Y3uyVckxVZHa/z2nzHpHK4CJtkFiWOIMRTJ9T3HnOEc5WDEDq9lLHHWsc7WFLk12zeH89yZAo05r
AKxyiwcdS95NpLDyUzzyiWVqiSDsR2Ly/DXw+v5LBkIv9l5i3pxCXcmqjatwcUhlB2NL9lP8IqFE
8PMQc+atijS2biffKezr0KxoYeOrzXTlVr1pbIBxA6Cvy4QqG9WZ436Mq+Cn5dWfbsfWls/Scrkx
5VnTfZaGXx0RNo114QfROWgKSSSonC0fS7OHv3suPefWK2IcK/j99mmTlceMzcSM75hvh48x68Rz
qZ74zocHSk9Mvr4OrHo7zPLYmNX4iY8jfpmmVL1ObUzdCMsg+6oH+0yInujOmjKn4j1m5QPiF5ez
SXmNZZabofcAxFd4TYqbUOuW95IjynBn8Bd7adHuTwKkFqRRHGHgNkU0UArBZR/fYEQ/hMKu261I
VZn9ZsBczRu7Df3tf236ZAH8fNfY2lPgGfLfLt3u8a96gd38b/+wvUiO9/pXNz38krpQ//avfOWf
f/P/9xf/4HP+A+HSsenx/X8Jl0+fZVr8y83nj/67cvnny/6ESsy/HFRG9gShJ0LhLpWvf0Il/l+2
BT7A99Eg/4iaf1IllvMX9YIhaokTXmqYERz/SJeCUIln81WuizfdoR7wPyNd/jN5J4DYvtRP2h7/
Ndu0/6nmr8Mhpv3R77a81u+siGRnbrQfpQuEpWOCNFR+5fL2P2hJ2OBv36n/A3zHd5bf/O+qKUDx
wPdCxGHhINT6S97lb3kWhCVKzfiYba3CwFi3GP0MRUl5N0qcSQTF0CwyG/hKn+w1aE1sUZb5zauW
GHaDr2Wb4FFjvUYw46b3BDy4efRO3PCxOXupc9V2fPbTTobXTirFRneAzWixI7F1iMxmgw88uGfs
9vLrhgvDuvX9J3jYOLdoD77BoorPb+bIv3VrqzA32pfXjK4AU9NcAQtV864ASwDIrZDOTeDOxpNl
tswuDY7de9AO9tkW0ngKCLmvQfqHt4PDDn/BLF3H+SKZYTl6zlJIHyRPWQ7juaH43td7XineKUQj
2HtpCj4cIBGNY51hMBpj08sPbsD2M/BaX246I9XDEZdK7Zxa5rhm7wZOtI9TZtjOQLmBEzOJD0EU
HvuJ3dgPSDfk/2UZLpRkg++adKbD1GfyrOLO4HbWJuU9rp3+F3l58x0lRXIr8oxqWmOU50thow9v
WGcTIKmYNR4rR76SPPFwZNpLZlydROWewqpqDjB3qNDtRLrPWuPD12Z4bWp39DeFJpdQaKxdqzzP
NNGMDIHsMJfjeKMRh/hh5fmpFyMhlcTP97aIgSpkrajPFYuDY1LQwOBQbPNElVBGLeVAnKTj9inx
8W9nzY9bWrn5SZ4YNlLVSFoRg3Lc50Z4S6/zcEZdj3d50zXXjsHQagc0HXsD53dgSHGwcBAQ9Rch
OAKlrfNEEqFZszkO1li3o2bXGAU/flpedqHGiB0HgkyJYYe73rXnja+0fCWEK16DPDevm6zhmY69
k7Ba3CzLc67iFH4iYK5rZ+rCp96v01VSarUZSBJuHVxYCBRhgw7XJjQQoZk+BTaNUyvP6/JHEcvQ
2vSe7wFCwIwnkw10QYsQA3PWRya0Y+0aDNnkqYmoUCIm+5RPizV4+c6dZ9grzmC7/a5M0/lGVIHz
VbmRglxQMYUEmQL8BqvycXCi4Bfpn+4xGGT4vIjaLVZnbXywLx3PKeVFT04OpWcz1mMb3Lg0NCGU
jX3d/Q/uzmzHbSXtsq/SL8ADMsgIkreapZRyHn1DZKbTnOchSD59L7oK/fu4Ci78jUaj0UDVlY8t
iWPE/vZem224DAgBGEa9V8z+qa4wY3yIY1qTH+jSUH9U00jtwZAIcU4aEKvfPK+d9rMrp7VPpH1B
varkox2b7FbnSbqpQfA9trGQeF7rY1ugJHj0Oc/Laht7v95Rh0dACBLR93hsk8MUyvhSp/TBzg0Y
MSuo0NjD2h6ulR9VV6aMeaX2o9U9KS38zySwg6NRqnljSJYARavxaYZtLg+pCWp5A+6rvcxWE9Gg
UzQvdpDVGJ20dW2Ws3wP5qHYYY2PfwhlURRR6AITyOA9lDCG32luV7dWT8ghiAIO4ei1T+zjyn02
AJfqxjB/jRJZP+P5sp9oVnOO9A4uUKkJ+hMlqOSx+j7V+6ptMyCTRQZ0i5ip1Xyi4RXhVWQ3YQvr
OfOcJ1HGJRwd/uZrMxPdYSv0IwhsXH7OZPbz1opkOR+ENmbm+FCet6XCFzVFKA6gyXHNJ30zmuvQ
rNl2QCCgYhG3cbMZkyF+50obwamCNeGBRKaF+hU8SdupikirR2DrcexWFPFsbLvPtz2mVv/cVZTj
zDZz7l3tpGxT6KrwiJB41jdpSB9FbR6OtekGL60tmmCTGIPGcVPo2NgGARWJVzDeg3fWzEv4ofP1
FQZmDXmm6NwjFIk4YJWXUngE7AbR18buEoRQmopkrK67JmrFKco9nxa06W2ieUTA7eTAAAY1Hgp6
y7/gIg/Hdi6jrXYFFA+z78khTcPU1Rs15cUrFz/sgnwm57xG8MAliaWf2VEva+TSWpOxX+duvfhS
OrD1K0dX1ttYDQT9O3oDd3lkFtCs+rp7MwrdOpAQK+cFU6X5Wsek5sx6Fp9xD1XcdmZ/43dzszNJ
j93QiOZ/bykAuzbr0U/2tiQiRZRjDvBZzEG5n0L2bWv+s/gKBRkpLaxc+xGkm0KWcLjpV6UDFXpK
Gr5Ans4pc8ZoRm3UFhaoVZiS6lulbUrF0dw7PC/wzdNaWKYw9NEYZU9LjrLncef9BJTl7IINGtN5
73gLwYxXTxBuyNzD+CkXxlm60M7ShXvGKcPSs7DQnDQjdrbw0WK0cX9lLtQ0sPL4iDMsch04ubyg
7ovFNuEy81wt1DVr4a9hY6C53s/JkiYDxmKW6s06rAWd91ODeIH4ckXTqIZvheKzYi6bFGtPOWQS
/YX/Ru0dKDiNR9DA0ajN5UYnezh3jdiGNJp/JyDFddtPJLMwC/jtj2b6Kb8t4DnMshhFfuLo/IVM
lzt0k5Io6GiOLfd2p8bbaMHZzakOny2yUatygd0Fjcl4rIogX8Mzk+toweK1URjdtO7CyhMLNi9b
AHrDgtKLflL1gAdP48pacp5rjy39yiZFdvHm6Dw5S5nYwAu5r9u9Y5YQ+1wRPQ4jCSKMbQ1OR6dO
r8VPyF+c2dfOT/Kfdo34fuzg7SAImlcR6G/6IWjwK9mBLfBAo5wtXGlEVxewIAvYT5q75IYtzE26
wAfzBUPoJBWfx19UOwip7qkrNcBC8oLrHBT1zlngxAwwCkIAERSPlWotG/yHWOiHparKKywaHrkE
R7OT46JiHcRC6Ee+4BPpP4Ck6C1QRSUShQppx7AW0VpNuItRDkFK0BSBi7Bvvhg7kJZ3vLj77H9m
6POfefqBNNvBXUL26c+8fU2Cjez9zxx+hqBBEw3QH30sYlXxT1Pl1cGS6QumGxMu5amb+zUcEepC
3VDyPqz6uH/pZCteNFaorUsuDV2TpYpadWoxQ5qe58TbpDbVJ6ZC985pAv0MBRb7XT3E6Sn07Are
mGD1tW1ak8hWmLfj1tID91M++SQz2mq+TgmuHZrCdf6xUzSFSKCwK++V/lLAcaPVI83TGjhWxwBS
L1k4+gI5eTzAK+rpMoTXWqbNl58KsmnDLHIsQDqZHqS9wLtYsSPdFVNiyoNJjuncG37UbqewLM9R
klc/OngnPOITC/8954XZV0Cqkz23cniIxYOWNPBiRNI3Re4okjHMTUAoojLNWyfEu38TQkAoNjRZ
c9araeYAJakfZ5uUBbHcySkSD0MTkKDqQROa22QQYjjRwjB4O1gZLDqoUj31g5t5LHvMkRUwZY5g
bpz0VAUJnkbfFd4jmU/xQvpCoTOCIDtZTmOTVYvG88xDB2M/j4onHAJDcTXSTFoDsiDXiiiH72Pj
MU5myVqNmLaKzHj3jDoeN3SlIKgC/mrSrRbgZ5mTeO2wg5fFcJpz4jenaAqCl4w81XNDriM+41hS
3lF2OjxmZUNfY1MbX6ZFyWIaWD+Na0ZxnEY26TQJRckro1lCasgl3Qtnu7rAS6KuYs7t7ghulC1I
m4mr2cEb4cugO9Nzg1dOBsvWnZ++nfgSUK+VM15X1CpEGzeCIgW2DiDgpvJr+Qgwnmnsf9iPWYtJ
5W/bMSl8E6AvrCbpWdhj/r4dY/Dd9Vns4F/Duc9sJaSjt3hAQHq1/fxByIIXqxuhKbTxN8qy57s/
7wd/R7F6fLwyTc9hdWc6prn8+S+7wTRoRZ5qo9s2QVuvyPYVZw5+dvXnT/m5o/39Vy4IXBvXD//7
CVn45WOmdh4EHcbYHEOGSf3QV6S5DdvwDk40w5YieZaLlfCL6DtcckNAaIR4tLKYH75a4yTJbNDc
rKq8u0+J9V6WQ7ZWjimuDV1NrxhRqjXVKmFBWDdxu1sE2jLY/fwR/6cRx///gT6U5SFV2H80kz1+
Ze9F+F68/yrJWP/1N/8py1h/odMq22dwadvo5IgT/5Rl3L+EjWiKYGOZllS/wD4s/y9WDJi8YCEJ
D04sBI5/yjKW/Islj+/7EEI825TqvyfL+MvN9utlqqS0LSWwtDq+R1XSb0jkOPXi1k40vSJmd4/x
OT7k0LjA7Ml+5xu5/ko8UJZ4fn3gRjkJMrga5JCUfeBNYdOKlRTmduC6xIzNvu+O6G63s+agOFJ+
mqMzMLdzg1BdbCL+R/TKctehJZNTCcodXKmEKDoG1Y8WAk97SUzHMkl8xeqVPWf03FVFe6nLho0e
XteYwvje9K7ccSZ+pjUQWna7IPOSBHQRez3Ab71DGgq/zCecwoZHnHfFknJ4VYJyCuoGqPDicMQz
7ziCaA1NnMj1vGLXeeM0RzbFyVORuw4wgFpphmPZ6Dcrw/GMYl0wJ7tJR8ehesHBCk4Wx5eXpai0
wDLiyqeiMYc3H0rIBOcv7o6VnwSPTKLJHQPPpR4CN1B0vdQ94g4yRszpHVnCm443wHNTgEnZUh0E
QAz1YzWQprewOh3YDurP0sxzJHXYGUTD2/amo3Qj2ugCBy9oSPkcmNo+dzY5kCh1zVejpONkxQhz
OE71oOHOhrQgU7L83ZsyDnioxuWLZzaDFb57HyFJlF5zKHtRnvFTI9hwmosP1RPkaSOTJRKrJcGX
9HzcJTTP71MzsW5wH7D4Tl2SikG5tDp4BkUZeCXivWD9xTzRao5OFHibodWn0m3NLd0sRPoAj973
Y2ys6IIYrNVYzyy1aVkL1nE/6/eQnuaTnlx94YLqk2AFwdXYK0ID2zBzyS82/mYYW5YupjUwRmvU
wTXy+Llqy27DHLK+sgzWn4bh5gwWx/rGZYpGfLCc0P20fRP5qbnNPAhmqs9ptnGoQRMGdeQ53Qjf
qNCcT5ETBrelXRBcS7hQm1K7H11ajDvTHttjWoroQCrgsYZuQWtTiamjj26h3UK98pvqCTdKsAt7
z3mPrX66is3GYUgJU0WxyrHdpn0xzeoth5+4ZM4BU9TDM2XleAOp5SvYuPkyfshHfSD8eFsJ9PpI
nlS1C92ZZQcBlxU1lgxd+qqnya+rqjVrO/oLqzaMH7kP3AtxKXXvp1LRO9ONySljtPLauqb3yDy+
TDfYs20PVCU0x1U12jmBmWYhGRNbORB/oUGCw4fS2WGoQ5+Kj7lvY3XOS+U8F4nnXMscbojVLHai
KSfXGrg6/kGvZrVrCFZ1iA9B+4ETidUHBck+NDmLJXMX86DA89UAHJZquo2cOLpjY6E2zHtMTDnQ
+m8r8gPsntGu7kdKwCo2w4iwKNjDWxUn+DJjikgnsB/XBE3YkGmb9G0E9XxDws+690XtHkCjgIoE
QDc8ej48jD53if6SuP3wszh/nDpRNgfAK84H13f8I1KDbZN7tGrGepOI3q0gc1DOcKhigolc9yZx
6mI7mblgiprkdr1Ly6Te67DGvraYTvdVnxY3mC/sxwGPLQQ8KR4AStrnxsCYt+KgqNsoJuy3EaoG
ytngjtn3Zh/ezDqx7vB0qH2i4+5Mx1H+mXAJc1YDWzyj1HXnLG1tFkxzffBsduEWGgxQkBxbQNZM
BRBOGI1XKqgo9Kh1eCWtITkDpAaMwuwdTFFjWNYjmWes/a7KjC33r3tNU0J+5zWhee8QfYFWYik7
OrEadp8A4Jh4nBijfOq5xO+eY/9yzQpYSSPrteq9U8LMlns+wUeAFXDA9GaU6T6m/a/dprEXnWxi
HgftF9dm0tAybRnS2FQ2RIzI76zD6Fk5iD9a0yQ37ha3fLwH5URpuJ6Lhxau6aqjtQHMu38zUD5z
gTDqfdJRG190GKQ7C+o20ns3XIUqFwe3k+ZHOtfpZRjkSDtOAOkpl+4Vu3vOoQgBT/l1iiKcICLA
DLgqpgkGcyl7vaXL+MNqqZvKLKM52E6hXqj9JCncvyQqq/bc+qAnQTxGtYg2RpIO36E2fSVt5W5V
SwtKBEt6PZQo55ldn2ID/I7spXMEDHQjDIeQV6CMO4jOTP/nsDiGRnAywwZbGW2O5rbLjOl1qhZZ
NIAQeycCx6bZLjSqbeOIDfuKR2iW4y6nHGhXRtVrRsrimFUdoccm/likrAw6hXCpWMYxvYHEhK6H
DDfuOrjl99bgJJdxMCoElqq7boS4cj35rR+rA+oB9WAtphJkgx4n+GixaxJnyyGYsSrpiZlXqvER
4bVfMhl2+wSoPXjJFXuOCYKzXMiIEZH3VV86+b62kxPgWEqxAjnVExFHluAby+sYG6IY0g7dZO/5
lGHMYAbxZmdV62NwmeJLMnXDvoisGjiXTYVM3WXNfq61x8bQ8VgnEFIm8h6mOb63JtyQmLRXc2/Y
X3kXDvFSXi/TrVN1EYsZI8zWle5j7LlVy3sgFi09eNQqEQpk2qM+i7Ltb1zV6Zs4jYDMFJBTXGoQ
Vr4Pj4bh+6UsvRt+FhyBUE7Jo92atb0O/E7DxA30+BwE0Xefy/1tlnQn6O5C0K/fpW2dQG4P6vtY
sX8umdPbPydN/Cj4GGYSijskzvnNCGtw+W42nhK78TWuzZkCI91Na9tv9MWlR+qjFWnwjVkuFU8Q
ebeeb6tVnhsuddpV81S6A0RZlUEEcNsTE+z+tkqC8JmIWrXP8fH/sKEcveLnqXbCnZk8eBns+0PG
AOagC19WhLcaEooVM+yVJKd0yztA7/ssHa5xZ8wnmlac5xhX5glG8niqGY9s8OubxyqXVBJUrjwj
SJfUFIp4qWDiWElkxU9RS/NA3V+7sTEz7uiIY15OB+Q+jeR+7tKnSaUzFgYqu6UmJ2nTftfKDR2s
gHqBduFkzYkl6ubLdjTruZJLEbcAPhS2wTyIN3mn8w0ulQ1ulzvDrmGYl9o5ptUkD3EelO+S5xlh
TZYUss0ZwnuFuau6uOQNQ2gqwclzp+ANn0O6xXa43YJLgVZJ6jIQuyorqg3YjzXDPXEdDv2VENMP
y2rJuQ68pmAQsdr/3mft1pnlBIKKpda1n5bOrgh1fUVWP9obVAKareat4jfW8NgFTfc0ORgOxngc
dtoar80FfgsqiFJNOFtMMkbihRoUSLo0Ik9O5e9sHmXR2rbHN/7ScI4h2n5QVYRnPzGpyYnCgnx/
ar9wvMkoOaonl19VsburotTZytA0DkXsRCfKMN27Csf7KmDASc4qSG8EUKprAgHBnYkh/ZxjJjsP
TP3EKqpSecsdilqJ/Nac2Yfkd0Uo5BcBsZAAQkBp5Cisa9kTz+ybTH75UeBfVO8TYtQRwI6mrq+k
qcC9UlkQvxlW3l14bGbHGh1z09buJzZV/+AWBKNCqp+uO8fy3jAD0xAIxgzxmRc96yI7qS7VVGPC
bcAeH8s8pPY5ktXE0wOjaTiPxS5j63TwG1cdDelO9wT+WuKSTX/CQx5sCsMvTvRNTc+EdoubMY9e
CfkHt2ZQpVjQvPpgu1UMeNjew39NUa+SeufGytoy7EF0jqzyunET3nQVwIqKddO2MHk4976Kgc+k
8sVkK8Nh9vKbuueBx/qxfI0YG33ziywlEF5wATetg0Ucg81qDvsergLmhLtQMADKe4W/qprHz2DK
0rUCp7gKPMEnT8hFLTSQ8+i64VXpQlbohvDFWwKTIlfLpBisWxMeZwqOGLPShZtn70zFhlveqDS0
gOwqN6bsWwwzxsY0J/hOeFVXXqU/41j32Mmr/JQ0euKyHoABSss6uSOmL9Gm8FBzbMY68ta+Sbil
qrME2/V3PZj+99Cr7GMCNdZjCQvUSGfN50R24yqjSaCFvpOlO6HxpAW5NrfMpMsdMQEOn6OdG0N6
zN+itLnFSVdQkFVWHyYXzHWfWgNGl07Dkk7cFVsflhOQmg4dhvNL7puEAMJ4egiCuGW9kGTvqeXP
/BRG+3kxR59sxsRxwPO5wTzkrAacbU+GMev7dJixYFIHZb1RMmF8y1G+dnVsVgcmTz8TIRlg8HnM
2fR0nnXbkBoCG0IThkdcCc+sn+68akJ39zWjO3ZywHuqlvMlsWa/EkjSXFkYvkoGL8yteqa9GANr
XimlhM/aq3JNnOKHz4J/6PwzKEj+/apbj0Mxb3wMqCxPzRNtBeY2d/OvWo8Hij8ePVTotbKG+JZk
ChOUrJgOreeGu8lpasxOZXdkfA+hwiyhiAxY13zwzM8GEti5nMrg02DNlNHmUCBAN5KOVhU6TDoG
92LPWXVWnZO/uV7QszaS8liaLGmxhBu8BafRwC8hYvMAZmdswGQZjFeoWKVLJc79PUg/oha6xDM9
jaW3C5rE+zT9STmIvBL0JeWv3+gIUO7KgMPzXLFE2laktq87PWev9QhYZYqC+KCEPb6rIsp5d6SF
hRNxIqrkFPNdiCf/lMp5vDPalgmAxG9KlYArtkHqzscZpeLeJ23xHk5BvFeNrl4r3m9Lm6R9dCcn
X9pDmW/gssP429EC0neWSc9qXd6Bz6FGgiBH82XO4fBo0B3rrtrBaS9KknAh0gA1jYyK94btot67
rfgRUydzwjGKzxBrlX3rkWVfaxzi0P+wajRm20ebypD9ZXRncWoCIXbGNOWvvUxZuQJLvQUgouBk
Z+V10AzyOmtoLAAJNE+bMip0TihUtLep21U3LK6TaoWve4KVJXjU1LxE7yFQ0X0HXCo7Vir39oTl
moekYg0LZi7ND7nwnY3PLuYsQothQVa0T8o0GJMsLGeYJotpFZtE0AQYGP15SI66UGIlWz2fgPAv
oLpZv+JSHh59VqF3vdC8TebEfs7FGJ/8gWw8eB3eRYGer4HJVNjxKjM8N05iXYoW/mlkLUjOBHgi
uEnsFzNjR2CCiZLvA4HaitiUbb7nykprxIN5fHFSTDArgSaN8NA5Zr0F7dNfGXNrbW2wCxpAqTHv
JsaZF97j1Vs0BtXz4NaQqiuHjYHXtavJE+UN4T0PpEXqnrxGMunqB0ZNhsivmaCyxEq6lmpXN4mH
V8vt1EaaSXQTOKPYNzSdukRCUvVGy67BogEwFvCG7IpOeFadceLCXOideuvWQYKpUYWcWu+dij+e
YImxnxGtdubEHpzfwcSLScUg7LUKPJ6uyM1pC3EW7cHKOUsW+HIcNWTs7cysT2Xa9rBl8B9/GHBk
iREkLJdAVpBAco0679Cs6LNcx4i9/GqWt3ATH+IgyS4xPaZrKUZITKNDVOz/rv77/6LVDlvEH612
L19t9z9WXyi72a/Crv2Pv/cPUdc3/2Lt4jE9cNFNf/XaecizglU4Pjvrp9vuv2LCYtF7TRf/G6hX
sdiv/peoK6y/pGNaqLCm63lowuK/47Vb8Mx/k3QRcn2hfFsKy3WZdPLnv0weXIedBYRfb08IMN1B
VfBXcNFiOCOgnbpiOv550mGhiv/+eQ4BaGyCHBEk699CyUQGqLg1fXdv4e/dhyJNvhaG691gFdV2
nAa9yYMZ6bLnv6LXYRo82jsj2T/PQPUJ5Qj7KR1I7m3+w/f63fancEEKxHPHXHyM0sXb+OtxYGHN
oHfiIalF9q2jG35jacODYiQPonNOPkEPUMg2cdU4o+xlukjU5dOfv8QyTPrtXDigeQQBE2UxUvjt
O6Qe7S4jxJ19FY+gV9I2OHlWXD7++VP+zRl3+KkQn20fp6W//PmvZ5yDTFNO4u3tUh5kql88x40P
OiZRVutW/4cD+29+k7RNfo2DQdThQvr7pzWiscwx8fy9X7hqB4QqWyU9Zvo//6Z/GUyQp+eOYNKh
oJHjIfv7p4ggtWotA3cvYfiQmZxYV2X9/ZDHn3/+oH9z8OgLUBahf1d66vdMPfUvHNHl8g3g6K1y
I6FnhZ14SurQTtLr/40PA7WNDdeRpjR/+1VjTw2H2zruvgTutM4Yj66iQQDomWkFpkri8OePE8u5
+O368wXDLNvhiYD/9bdzFVueMzduSCGEwXi/gYNGr2tg3meYQNhNRemmYtKxizotDnAQgX6befCh
MpuYeDHW90nqNXu7yIcNBjwCV6asq7WyvWwjJWhVYp15tfGiwiczkxQxCZHc61ZgBLB+lMzI11U3
W5semArA0kTdNXne/Id5rvVv7nPCm0r4Amz+v16PmoycllPs7sMiEscEQupxGiSW9kE+GVNB8CIA
stmEP1yb9nhHpOIRfcz7D4f6312vPk9uBzi/KW3ntyPdJFhokML8fZb1znF04uvCVGTK2duv/3xS
//WTMGzz/hCe7UmO9W+fFFWLaS/xIRkEcb4ee6Q4Rm3fGNSI7Z8/CXn3X++Oxa+NfdzG/Ov+489/
ebTUuWUbrmiJAfuD2KaDES/L0fEWJWa8V6CciSp2jyHa7DYhYZJuOs8k5IUVlkFFyQTDb2kXn1w2
XKu2l+oBSU6+y6H2DhrxFz4zUZgHv+2cc9cN5VUKnHIPNR21sLL6ZNxlmGPXBLbRxnK3P7LD8A5V
5Kid3xTT3qjpSW+aWmxt2bDuqnuTZitJN2Sw1x288TC3AFTgerwppDUma0IhahsOo9gMLj3rAd0B
78Te8iMMYr01M8irk083fDnU7jGtO/c1tmfnBkNXfJhb0t5GAFNH+o06eWz8L1YysVLrQC/TQXaM
ZNxgebZYb5N1fgTyX0GnKKp3LzRpi4poqlxFUw3MsFyEeOCguwKV4BCbXfJgmFV945k5ltQRdyMS
xggLetR2/VqNQ3Ch6z4glz7H+yGvvU+k/JG+PdN+S43kpchAf2GqL9VV0jU00jR4xfMI1FKMnm3k
B+rZSR5CSBX3yD3UiNiR8q5Mx25vZgw/VFnVat/WTbrn51DkNuC4wXsab3As9hlGuhhFgafUdPZ7
JFJsJ/1SJC+C3iUGWsf7rNbDF0smjom2i3MUFbANiZVd112A7Vzaoj/WpdO+WG0xPEsHRh6Jy6pV
K7xs/jPLtgmPOxvjJyBFzrGnv3at69pY03TpUBOn8m1ZmxhUYtSHYF3PvPoZ+mK8WiWZU/abdPBi
CIN+AyuM8y3agcM3GC2uWfaBxAbZ7qzMgfoep5LyLarEdOWSGnizo9oEM0XN1A0sI1NSm4ZLZOX1
Jo4tHh4jT05nahT2KO0/61Z22bNt45AdTDP5rCW7AQiEkivex97+kDkshGhj1NU2YolzyttmndFu
/APM74TFnU6ncGMSV0v2nqiSGUtTP51FmtenWXWqpC0G1C/wMmySED33YmaBw4BH5B/KlrQn0Jxh
bPxFAWgwLbJHTPvDgCx5QdEM41XihP6+LI25WUOBzTdeEVyn/Qj+3SYFCXjK4vtGumF/S8Ongv4i
VORTxRHPZ6EbKuWs+hT5wJZDuIwP0JLB9sbTbqzc6FGY/rhFcemAP43qoI0y3Pk1uA9PmjnndySf
qUauj2xGmWD+36udW4bW82B77pU91V+lJett3NO11BAg/OYHvqJENLTro2E1zYqaO0GAYABpY81S
7w2Mlps6I/SXIiNcPPJLa8zBEcHJBlqFQ6+g3cb5Oy0lsKDo/2RA1gTfU3uWAXkrzfg7IYSRcYof
AteGnB4b2VZPZD2MkbcwS9Hmc5B5dwdrfjr42sjZDfbetmYHvcMlydATv/04sEAcZ8u5CoROtuNC
p2j6BJGpOmEA967akhKMNao77o82BDqbBE/hNIBebGgtNlASrpqm899jT9lPYpbdNgtDmxou8NKs
ypvgQFdMeYjyjsSYjLkVPCM8xUhiG1WxOGbwGF2F1fDqeU178kozXfPWIy7b9z3gg7m4dJlcCiEd
PW9KVF/GrA2MGNfIkrXTJyV6Hgtv9Phr9IxoS/Hj/MCktL0QKI4/xpgnrmkI+BVQ4fZ1Db61HUqN
HsfguArNkPj27D+p2pm3YzMZm4LO10voJ6+98hG+2nxcwo2EcdVtkOX3JliaYw4U9qh7oPNBmmzC
mY7YrId7WNpKf+Fdp6CCyGA+c68Z1uvo1/bFydqLDojuQT0L16M2p7VwJutMvtMBueZF2a7JgBbL
rNS70vEXRm3HhsJSpGiaZiBuzRxt1zhMr7NupqivMH6MCtu6duUji6R539dY+OCeP2tlmXvLUnKr
qVu5OEV3V8XN2U4K8hmWUa1nnuB7yHjvVlmCWOSX23CfCRgAsXewnzB32UC4c7aj0OR9e00iX/fB
fUGhxhbby3TFqPzilEOx8RcwATyLkSB6D0zZB0zsgptYq2m+VbKmcRslRq/UqNVr4Ua4ObNw2iE3
wEPwzDAAXVAYDEPKqaieWJeNd6KIoUEqYjhNrHFV8rC5jnPEM6s2/AfYcvKNwdLQbCjDaTgalOGO
PM7rBGUk60t349bQufHwN+mwVSVHBIrU7N5mssCmEPLwehmipv0AK4H6UGNZ7I9hQqpgpwrw6107
/5hETNghRhQk6PsOU6I88s8x2vHGdpc42B4s6deM6qj0YXpo8vC55ias93NCVEbYfvqGZ6o+CWjQ
yDXzvLImMoVUTka7OMYzQ58At7FurggZjDd0uT0PaJKb0DfQTnRFmaOobxUtQrt2DpIUGqpVYDNV
mis3bXFDuk79IJT54MZtfSirBCh7N5sHlKDkNE6tc8jrni5SYhI85fuCGAl2vv1QC7EPy4yRPMLn
NsBku6KMLTtPXS5uqSqLN4UZFW+l57Tb2pHMvqeESBhPC+ouyh+8kPDvFqRJZ2UOTwiFkCfjUeqv
BiS9syqphdsQWsL1DICCNaOcdlQGlURNyvxIQ8yPUojyNOrAerAtv9415nQbN0N6mmaJ/dO3gSRa
ljE8D2ka/pBz2mwjzs1N7U3mkchWsDMKv7mfiZEyfgu+0yTUX1uFAbQ4ZiCigLli90369ACZaKQi
CHNMTzZ/Cz/6Dr6Tt27tSOxwKo67OaDLcwX5pzglkivBG4W5s+we3LtI5l05xukV7A/s8F1OCcd6
TBnqE9AuP3EVZFdBIdJuV3QcEV8l2T4ofAtbUMncMVJXqdO/Ts1YXsZyvB4h3H5netlj5Lcpbrey
JdImrnubtJIftO273Sq5z03gwrmc9mlpPBfBlEL7JOC+pW2pOJVAeLZRxewm7FX+RMavu/ZdDOUm
L8ED7ZynAjv+k1NFWD0iT2xqf2i+14WeeXOzKFiJmH7fsg/1phI8m9NShdcAqMI7qpyLdWtW1D3l
AjIG/oZyg5Ax3I5R81ItWYbS6M+RoHYknzTMdZ7bTDsrAjwjTQ0QZTDGz3sU+2G9VHO3c+VexGzl
fGYc37GwlyAi4HfSTojvtrA9AB5j8QyUOd5VLsXqKblEFR/IA3VHhHLmh+ROQOu70NUsBmrgn5wD
8JN5nxkFDCp315bS3U0KwZphnuGd/HJMNoLWYcA82PsNANrMXTZsocj9htWepXy69ULSNipKgAAM
fry3+fxVk8vPrpbBq5srajwZ6pt6UhS1z4euqp+mrsUSMEynzuifvUQMtxGYdA7tm9+BnbMj4xOc
xrOw0ws2+QcG9qTUc+sGEvZXmH7BPx32dUxSi/zWIy542jdqWkOke46ldQGB3q/B/bRnGm/ODVfQ
2QHwtA+07X2Wo5vsQpETJgrX0DKHPfya/GW2vyPFZTtP1Nba0km+zmoInr2cYN7kbfzYl9hLaOp8
ambvWdUJ/6/f0yr4NpbyHBGQdgSQ/ZaIwLrPmmRX5NFTJPyDzAE6ewkIr/pYddiEZFtc2yrlu4uh
XKlqoN2Z+PgKp5VeCaNPNo5Ev8A8ciwKXe+0yu4T7qqFEE9drnlUILQMoOQrQ1irjkpkokZRcFAw
x2/wHUoq0932C6egj2gmjwyI8xME+CUuoQGt6OADtAobc7b7jx2lDDyNA7LpIYafz2i2ql1O43YY
5HLX+GZ2mtKMzudAR8tSStVbx2ayFWVev/mf3J3JctxIlkX/pfegOUYHFt2LQEwMMkiKs7SBUaSI
GY55+vo6SMq6JCpTmdXayJqLWpTSgoSHw4f37j23GQs48eQOrfBVHg2rHv2mGDmrlAHBuflg7bSQ
KwJ5Tym3eo0zDA+cGAkhykYXkJJhFetZ8X1zb1ULavbGdcJLyxzITDDqTzDStk3LOb8ghYHmqdGt
7IA1vww50JvedTSbRzMJHtqpuMidwFoVI987MhixSmRWn0bRXLLpF3eixexag9Ug3Kd8TAAcrCEG
gOlUn6VmPTiZaP0Z2ag/lQ1fWk3/yTA7mtp9fj9SDF1Ntp3t6yHU91DRIAyiQKHFCbcl7juEQ7Cg
WVJUcpAFkaSThANS5UgOQll/IjAGHJzj8KT4irHD9ZfoxiYMBqbazPBcXiU2t8tYQY6o4QVsJ/Lt
t2TqtXSZxbHgzrJNuP8cBgj/w9IatI36CioFXZPSrR4jWkjoYIJuR4nlBmCg2gZl5dt9eOFyPLxs
Kq3bjKwdG8hPzlF5Bl7hZOTeHOt1dTETiEW3fEy3wuFy7C4mwhS8bkcbf2sAzF0gQpiPB2e8NWh7
rWSB/nWoSUDF1KieRx7qIGuZrZ2Rr9TQu3IPH77bsd+KCyB/cJ9UWhzyal9MxPA46D+OYqoyQk+7
5JjSg7lvdOXcu6P9haRblO1G0e+izBQP5BO1e3iK2k1Z9vVnNCjhVVu7zpF2GupAFKw75Dv9bgSS
TmcNaD/d63xjUcbBnRAhPq1imDEDp3m0Enoj74RKiaUOW3MrkAwgYqLGh3qnyRfsV9mdNjnJDmBw
P04VR8WQitdzEEbFhqxbVFs1R6GWKzKwTNukVp1wVkpEt3eqwsYa6DiHsm6njx39OS5MpLbx+m5F
Q3j54nPeDIk9rGuyRa5iQbb4bKXlQcqoXxeN8yFaonr6nG98xpCzB72sb0dqKSmIvQ4ncBMfrbGu
T6HwbQBDjVuPF527VF6fKTpUsIJrzpW2mR+9oeOAWxCpY6f6sIZsFp2Wc1/vutFwdnnWYl3MU6gv
KJl2s230+yAd3AOcENLsOlWtzZjTPBewm6ExTBBdie47Y/tCFjxegzT8VMg5O1ZjhBslnl+4jtfX
Hm6ECPC51vmx1pGukdb9mSaaO8OwH/i1DTlf3mnkdCT1RByHG9A9fo0b984YUe3xRdXRhSE0akNF
jXQx7wS1oFwDYpnHADjIRcBfq8qtHamAXlpiWA9dSOeeKVg+LJAloGWLwADkEMhCNIb+lDjFB2oV
xV2pDZ6PJq18ItjcvCZJR1wZVWVuomnxjTpzXF+lhvcZQ4V3TT3O8UEnY4yySiBgRHr7LXhVCkyd
PE8bsqow+qYbxxvTUzQ4lESrwNlUmsp3mhYV9PldopikHh8A9AErsGsF5RnsHCLD+dPQWGIf4vV/
jFQ9rrIkqalwOJ/lqAgXtj1Ce0w93DQ5bNDMJE89xZB37vTctJBzJadMvw+YBwDS1UVYEaZgRudh
XySbWSkyZHqsKSstpaJ6Bj4PsS0U5P7DhC7rpYdKZRy0OZ12/SCJ5TOdWT7qxShQwQ1ytDdw7uNX
xSSTvllOSXlOgteEktCjF5wJrQ42LhmxFlylGpmYY3cEGw/c9OZ2vhUG8tSyz9gdp9Ra0zW5SZyO
NdOrYbwEdCETVx/X7gJ2FYXT+GlT2ndBWpylLeoxMDqHTBIVpsgWYBrq2XwsapINEglmd2XJuQH8
VhDu1MpM3fOL6rs8K9RjuqydusoviIlKt0lRynM78vQt7gLkVxg9C7iqpXlAV2dsZksquHOqCvbw
wPq7oZrmmzToq9s4BX8g0IxsBg13nyhIHZq0hCp7A8Z7D7MKTUMr4w69TjDju5t01sRcsP+iHUdb
PaOSgDQ3aJtYqspaWZGW+FnbBdtKhtTSpyoN1imChW4luw5vuFM12RZtTvnkpHCgl+8kvZWsPxdd
7kIZKWxtoazjT+0Yavec/TtKt7FRXwekRws9vXZcL98Rp4i+jPolSk4RooDvrqyQ+EMqOb3fBD3k
nV67oOCOQAYhUAOLjpQsEv40eyDGPi3RKtA9XoTSgHEs39M04srHdBH7oX892uibID4295Dek2gd
pQRiNHnpPDlcpfZe7xp+DUdxMyAoolfWdtdcKQPe/xxAFzEh4GxK/iqcqmSzc7qxu3GjgUBYBIcv
c2OgeR0JC1PzcN9NhBcN7bCjUquvQFeKqwYr3AaouEDorhFpGePCIIk1g32ZVgfTja8d8LYb1feH
wBIjnDcMVms8d+i/QQUeZZMYn0cFF3GdJySicAafiPXAebGkRpTtGXkp3U5KoIEsXmSpOwl4i24y
ygfKH+WHggTQ63Bw20cYKsklI8+9mNLdVu9reclZbkC1E7o4ARTSqd740kZoJb1ZHwnOwc69El4W
fKYGywmfenl5VpghqjqLNU9AnZJSbpGBg/hHGF6S6qm8tn3FXqqPG6EHs0AnOtJ2zO2CRPvGLL07
9tIOIQ3AMJIipo5rMPb2ej5tvalUHLoFLVVSklYzlMhja6fJXer0wUaP3Oq8CYmGDoidoYoUa58m
fABjFkebLFJ8ejc01/ZQWru81MUlZRHJRzeoR0gNIWBGypEiOmdZD5l7ZWSXCAk3eYQ5m07P6Bc1
dt3S6i+DLFuDqWiQ2SdEHBWA++rytZvru6IdvTukT4RwNuGEYiuEhLuW+vyYF+PD3KBmtiBibSOy
SbUF7OKWbeirKY4PoaImREPnNMxi7b4ZtBgVFLVLyu6pH0dzjD1zXOd5ZG1bxa2rgm+3d4XHZRYN
CYWXqDZPOcGi7I5rTKtb0bIrrhTRe+iEgCEUfu22yQpuC6YKV4tgn9JV0S4UFBK1FVpOHYeKRnRj
StM+49CnTnEHq00bR+WN02NpQIri6OjecmJhfAoeDtldmJCuGoD2ZFRI07kVYVnt6zTkEllzW1Fr
M7Dqg4YNDP+DmAjZcsHIVSFlTTFI55HnmrcIoQlerzp87ebct+ZyY8muAhGCgUHfb75MRsWhF1yt
hwuz0DFjuVV5hw2LxTJFFg/A1AzMV4sUYI5CrkvoIT0EtjfqJQ/2mMpHePfynI6UOmZIBK5pfMpT
x4D5IOwQZrBja1HCqdpCU9VmjfcR6qjiIKPlxalghxPMbQLLqPZTtMOOzLuV9Aq+hwZK7ItVWOYd
Sk9ChERSvqayQMLUek1+SeYJJoKa2FVAs56VvlSaLXAWT+Ne0Bm5ifFJhOs00hr2HeV8woIlL+0y
yT5ncg4WMGp4SW6T9Yimu+d23IX5U2J786HEFN+visGjDJFpXJj8MYev55XKvvEU0ldf5Zb+1JSh
sR9wBOSrxo2cqxTS/+C7VRNeQaGgthtpWwPJ2b1ovPZVFYa6p4kUPOQwUT9qvPsbrWHkE4aT4E9O
kvupiOeHYFLRI/LXRfa1oD6NWnOeqAJbnzKQqj4wdCQEJoGLVsMRHuWU3BRMEcKWLYstRSVI+qbx
FWvL4MNFI6ANZjwIFdfKfQKizXvNzqNTcxTTsR4GcGy6kRID16AfntwYXXeXICbSWmgwqg6eZoos
vAAqqz66RRscZs7aHKpnxPIpB0BME3kDAb23b9m8ii990akrB2/ajmaDZq4Au4Qbjnnk46bap5hy
j1rRh0ftxDK/Bu8HBhxewwU6DpwtLPsVGqwyv6JdBnJihKy+seOMQ0lh5OUNSFn0aOmUuQyOTRHS
gn15RMKZnVrD5J6OQQTK2iKKE807jUGlt0Dw8J4AdiQ+GNCKNwixbtNcHVkw3HKNIci5MvCdqB3X
ZKyIvVFxi1a5ncB8QVjKOduRxrOObvUDBevhiozE6sbupfpiV112BJKXHmbAma+eZbvHAHfUeWhJ
TfMNvTdf7a5VX0gqhbOn9ar7WCA9eUzqupFYN2Tt4OeuMKETCGEFq6kAQMxUJcmYBultY1doxF1l
Aw+1CIW61urWug9lnr8UYX2ve1RFi4YTCRHBIF5lFuojFfcqvZq7YXqCvxoB9qF22nGeQskuKb3P
+6alrGd7fZNvuQYwyF3Zc8DQnHIWhyQixHcdoVuk3zAG8cU0trZa23RdWSPCwt2aYM7OooT9CyKC
3W6HuWLq5AArM98g9nOHmJdGNGBccewrUpZWTAnjQnSSgp1s8RvYjgyfuroM0nVYN4+WPpXJGtBI
dNrntbqO+KLcLbFH1l1Dg3DaiLySLxyNrH6F/2F6TkKki36WlTLZlxLkoU/HGGwjszlpdri8l8pg
3YyOL73C+dQpD2xIyZH/LAzMAVXzsrN5zrAL4Qs2K63QvUMop891jUmAzvEwrrha855wRuIJaCbo
huOjPMXJT2WNPo78GBKk+FKHQ0DJsgWH4UxIRXT9HHwWZuvatWpnZ1qOhcudCjboRbum4WHyD7c6
jAcClydLLzZluFjhOl0Cc4TKS+ms0ZPnoLGyU2nFtuFnYQuHSAoRA0EPqud6khjURgvbak/rZiIm
V4MvO7TOI7QCtg/gvR7coCBP93WWmi9JBidjqq2CC+486bupz4udmfaEkyTttHUymkBMyeJ0COG+
bCTNtCv45ySn1FbHbtIEzfOclGQKloZWPyQyWrB9nCawBb2ave6d2ZrlHRLUVlfDbCLl5bGbw1Q3
9XGaOm1Nr5Y7/gShCWEomsZe33G3URGo46Z8rdwelqKXJfFV5NqXGX3fnRFW4W2U5wRfGthA9glo
hH5L3z7aFo31ZCsxXWtY6Z41h9KOXojzydDVS2ebyZ0po0zsydT2KP5a1SPpr8W5Fir9IiuVdh3C
6PkbIcYif/he8uIJCxUUG7cBt/I9XiBKhcS1ULnLnZ7mKTfmK+DL0WXWliS+0psVl72uJXei79lK
fy6YsP5MLoEEhS6oIQ2EN+/0PbOhYSn2Rnc3OWF76Tllve9rwjjYEimjDgCPAu5kNMZF0r8MM1tK
3XX5tuxTHdBt80wOou27mF/8rBSAnQsaTMXoENbBMZ5+s6GTqwova2XkDmYvdtQZF7OlDoOVzEf8
cqT74OUZbGqDJkqtzO+gqrOucAJmr8dvoLrU2OVjqsEI1V0y81jLurqzOKHYt2PH5cAeJv2qip3n
hHxkX5N9u680FvxEoZ0nBmmRSo2u+TdDZ/woI8TUDqPFxCZPdVC+E7HlTCWGz+K0joaSe4O4sqxx
UuANJmx0SJYGkKQTkefsStNiqm26aetlIPqYTBUCJmiuoSf9POrBKnW5s0k8sz8Vqol8NWr4qjvu
u1nKAdhMgDkn4H9+/u0vQtL3Uw+ohI03n/9Fn7Mo574Ry8TsJWXv1d5O1GXCFcfr58zHrhOdzVp7
DQXFWfdszj7WjuigC9F9oePVndZiUetRcLN1/DtGMwjKHug2fv7X/SjbW3gCZMcYBn5n+71IMFwy
HnXCCRbNOGsoyHCI3+QU/M2v0d+jHkEB8EWieOQVYGnX332PJQ1jqwlKb0f7kyiJ3pDA/oa6W49j
5nw2uMCzRqY47PWAdK6ud65jDqHjmsJ4eoZmx7vMJjdFNsPLUtpFftmaHZTcNJi1jRWL27JNm/uf
D43+fmxYr4Vu2wsF08LDbr6TaS6BYhQkmHt9Y7AozAa5VFJQHEyCFHck15B7L71UIlYfYbfrPv0f
4Ud9Fh0ma3LWiBmmFwLcx/M//q7/N/yNrw+yoFN/AKJCVv03LvWKFPL2Vv3f/qOff9B3hNVn1RXt
wmsNY/VdyJO+qJa/C4b640/6g+76s0/Insid6l6+/Pd/GQZ81UXdt4BVM0Ua8tv/L70TE5SCQN/y
9oM8kV/0zdD81cP//Ll+ZM7++Dnf/eVPL3lcrOOmrePn9lvpOs45g5fwnzz9u8/499NDJAFFIhb0
yP8+5beD4JzASfbYcJeXnx9Wxt9rEACssFD92hjYJ9LGLO+iBn77eT8RPJRoy/L/9q9vM+43mgiI
DFj7F33+L42D4Z4gJUYTjVb6jx9m/LdzQRKHZlv4x/W3cXibe7/TOEDxYgf4pUHQxYkFMYeCHp/0
7dM7J5bgfbP0r4PDVvJ7vQnSE6ax7HC/9Pwshw6Sch3F859OAhwtS1IdM+G3nQSUvn5xEHTrhCOO
ZWC++NNBYFWE4sRR0PxdVwSP8+AvDoJhntimq7M0un86CO4JCCsPz8PX5eC3Wxa5qVn/8HTwl/uj
4ZzY+MAW98HbIPB+fbsqmCecD3RG++tM+O32R+5cPyDo/+KI9JeDoOsnQkcyCZ3y+6d3WRMlNgL7
ba79VlvBn5Pe/uNHlyd88UDm9XeP7p1wEXIXW9zbEsA//17bwVdj469tBsv05uSDK+W7L96VJ7ix
He70bw//nxwL/8Ek+Rre8Jx9ear/518AAAD//w==</cx:binary>
              </cx:geoCache>
            </cx:geography>
          </cx:layoutPr>
          <cx:valueColors>
            <cx:minColor>
              <a:srgbClr val="F8CBAD"/>
            </cx:minColor>
            <cx:midColor>
              <a:srgbClr val="C55A11"/>
            </cx:midColor>
            <cx:maxColor>
              <a:schemeClr val="accent2">
                <a:lumMod val="50000"/>
              </a:schemeClr>
            </cx:maxColor>
          </cx:valueColors>
          <cx:valueColorPositions count="3"/>
        </cx:series>
      </cx:plotAreaRegion>
    </cx:plotArea>
    <cx:legend pos="t" align="ctr" overlay="0">
      <cx:txPr>
        <a:bodyPr spcFirstLastPara="1" vertOverflow="ellipsis" horzOverflow="overflow" wrap="square" lIns="0" tIns="0" rIns="0" bIns="0" anchor="ctr" anchorCtr="1"/>
        <a:lstStyle/>
        <a:p>
          <a:pPr algn="ctr" rtl="0">
            <a:defRPr sz="1200"/>
          </a:pPr>
          <a:endParaRPr lang="en-US" sz="12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11.xml"/><Relationship Id="rId7"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5.xml"/><Relationship Id="rId4" Type="http://schemas.openxmlformats.org/officeDocument/2006/relationships/chart" Target="../charts/chart12.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167535</xdr:colOff>
      <xdr:row>25</xdr:row>
      <xdr:rowOff>60673</xdr:rowOff>
    </xdr:from>
    <xdr:to>
      <xdr:col>16</xdr:col>
      <xdr:colOff>377085</xdr:colOff>
      <xdr:row>41</xdr:row>
      <xdr:rowOff>155923</xdr:rowOff>
    </xdr:to>
    <xdr:graphicFrame macro="">
      <xdr:nvGraphicFramePr>
        <xdr:cNvPr id="4" name="Chart 3">
          <a:extLst>
            <a:ext uri="{FF2B5EF4-FFF2-40B4-BE49-F238E27FC236}">
              <a16:creationId xmlns:a16="http://schemas.microsoft.com/office/drawing/2014/main" id="{135831C4-CD6E-49C1-A424-15DD2AB89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496816</xdr:colOff>
      <xdr:row>42</xdr:row>
      <xdr:rowOff>119297</xdr:rowOff>
    </xdr:from>
    <xdr:to>
      <xdr:col>23</xdr:col>
      <xdr:colOff>560718</xdr:colOff>
      <xdr:row>58</xdr:row>
      <xdr:rowOff>17683</xdr:rowOff>
    </xdr:to>
    <xdr:graphicFrame macro="">
      <xdr:nvGraphicFramePr>
        <xdr:cNvPr id="3" name="Chart 2">
          <a:extLst>
            <a:ext uri="{FF2B5EF4-FFF2-40B4-BE49-F238E27FC236}">
              <a16:creationId xmlns:a16="http://schemas.microsoft.com/office/drawing/2014/main" id="{BF82479C-F418-499A-B752-636B278EF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95249</xdr:colOff>
      <xdr:row>59</xdr:row>
      <xdr:rowOff>174580</xdr:rowOff>
    </xdr:from>
    <xdr:to>
      <xdr:col>15</xdr:col>
      <xdr:colOff>600206</xdr:colOff>
      <xdr:row>73</xdr:row>
      <xdr:rowOff>177712</xdr:rowOff>
    </xdr:to>
    <xdr:graphicFrame macro="">
      <xdr:nvGraphicFramePr>
        <xdr:cNvPr id="5" name="Chart 4">
          <a:extLst>
            <a:ext uri="{FF2B5EF4-FFF2-40B4-BE49-F238E27FC236}">
              <a16:creationId xmlns:a16="http://schemas.microsoft.com/office/drawing/2014/main" id="{D262BF84-E10D-4A66-A70C-80D9B90D8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369256</xdr:colOff>
      <xdr:row>75</xdr:row>
      <xdr:rowOff>4958</xdr:rowOff>
    </xdr:from>
    <xdr:to>
      <xdr:col>11</xdr:col>
      <xdr:colOff>451825</xdr:colOff>
      <xdr:row>92</xdr:row>
      <xdr:rowOff>85480</xdr:rowOff>
    </xdr:to>
    <xdr:graphicFrame macro="">
      <xdr:nvGraphicFramePr>
        <xdr:cNvPr id="6" name="Chart 5">
          <a:extLst>
            <a:ext uri="{FF2B5EF4-FFF2-40B4-BE49-F238E27FC236}">
              <a16:creationId xmlns:a16="http://schemas.microsoft.com/office/drawing/2014/main" id="{9D873867-710C-4BDB-87E3-F82E9F10D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718428</xdr:colOff>
      <xdr:row>93</xdr:row>
      <xdr:rowOff>13491</xdr:rowOff>
    </xdr:from>
    <xdr:to>
      <xdr:col>7</xdr:col>
      <xdr:colOff>450273</xdr:colOff>
      <xdr:row>107</xdr:row>
      <xdr:rowOff>21307</xdr:rowOff>
    </xdr:to>
    <xdr:graphicFrame macro="">
      <xdr:nvGraphicFramePr>
        <xdr:cNvPr id="7" name="Chart 6">
          <a:extLst>
            <a:ext uri="{FF2B5EF4-FFF2-40B4-BE49-F238E27FC236}">
              <a16:creationId xmlns:a16="http://schemas.microsoft.com/office/drawing/2014/main" id="{EDDE977B-D75C-46EB-9800-140C982CF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711052</xdr:colOff>
      <xdr:row>108</xdr:row>
      <xdr:rowOff>41995</xdr:rowOff>
    </xdr:from>
    <xdr:to>
      <xdr:col>7</xdr:col>
      <xdr:colOff>196350</xdr:colOff>
      <xdr:row>123</xdr:row>
      <xdr:rowOff>0</xdr:rowOff>
    </xdr:to>
    <xdr:graphicFrame macro="">
      <xdr:nvGraphicFramePr>
        <xdr:cNvPr id="8" name="Chart 7">
          <a:extLst>
            <a:ext uri="{FF2B5EF4-FFF2-40B4-BE49-F238E27FC236}">
              <a16:creationId xmlns:a16="http://schemas.microsoft.com/office/drawing/2014/main" id="{23AE2DF2-567F-43C6-8677-18C75A594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48914</xdr:colOff>
      <xdr:row>124</xdr:row>
      <xdr:rowOff>67936</xdr:rowOff>
    </xdr:from>
    <xdr:to>
      <xdr:col>15</xdr:col>
      <xdr:colOff>125328</xdr:colOff>
      <xdr:row>137</xdr:row>
      <xdr:rowOff>48451</xdr:rowOff>
    </xdr:to>
    <xdr:graphicFrame macro="">
      <xdr:nvGraphicFramePr>
        <xdr:cNvPr id="10" name="Chart 9">
          <a:extLst>
            <a:ext uri="{FF2B5EF4-FFF2-40B4-BE49-F238E27FC236}">
              <a16:creationId xmlns:a16="http://schemas.microsoft.com/office/drawing/2014/main" id="{62CC1C8F-5A17-4159-801B-8525CA6FD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611105</xdr:colOff>
      <xdr:row>104</xdr:row>
      <xdr:rowOff>88733</xdr:rowOff>
    </xdr:from>
    <xdr:to>
      <xdr:col>14</xdr:col>
      <xdr:colOff>597570</xdr:colOff>
      <xdr:row>112</xdr:row>
      <xdr:rowOff>125329</xdr:rowOff>
    </xdr:to>
    <mc:AlternateContent xmlns:mc="http://schemas.openxmlformats.org/markup-compatibility/2006" xmlns:a14="http://schemas.microsoft.com/office/drawing/2010/main">
      <mc:Choice Requires="a14">
        <xdr:graphicFrame macro="">
          <xdr:nvGraphicFramePr>
            <xdr:cNvPr id="9" name="age_group">
              <a:extLst>
                <a:ext uri="{FF2B5EF4-FFF2-40B4-BE49-F238E27FC236}">
                  <a16:creationId xmlns:a16="http://schemas.microsoft.com/office/drawing/2014/main" id="{1206BCD4-0E01-4A72-A7FB-3BA31E7D9EE1}"/>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9095875" y="19640049"/>
              <a:ext cx="1828800" cy="1653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301791</xdr:colOff>
      <xdr:row>94</xdr:row>
      <xdr:rowOff>128840</xdr:rowOff>
    </xdr:from>
    <xdr:to>
      <xdr:col>11</xdr:col>
      <xdr:colOff>288255</xdr:colOff>
      <xdr:row>99</xdr:row>
      <xdr:rowOff>62665</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A0DC660A-BB26-4F5D-B48F-DEC4465C503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44225" y="17800222"/>
              <a:ext cx="1828800" cy="873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326859</xdr:colOff>
      <xdr:row>105</xdr:row>
      <xdr:rowOff>279234</xdr:rowOff>
    </xdr:from>
    <xdr:to>
      <xdr:col>11</xdr:col>
      <xdr:colOff>313323</xdr:colOff>
      <xdr:row>116</xdr:row>
      <xdr:rowOff>12534</xdr:rowOff>
    </xdr:to>
    <mc:AlternateContent xmlns:mc="http://schemas.openxmlformats.org/markup-compatibility/2006" xmlns:a14="http://schemas.microsoft.com/office/drawing/2010/main">
      <mc:Choice Requires="a14">
        <xdr:graphicFrame macro="">
          <xdr:nvGraphicFramePr>
            <xdr:cNvPr id="14" name="preferred_brand">
              <a:extLst>
                <a:ext uri="{FF2B5EF4-FFF2-40B4-BE49-F238E27FC236}">
                  <a16:creationId xmlns:a16="http://schemas.microsoft.com/office/drawing/2014/main" id="{A675B49D-0FD1-4A5F-97BB-4AB715BC8ACA}"/>
                </a:ext>
              </a:extLst>
            </xdr:cNvPr>
            <xdr:cNvGraphicFramePr/>
          </xdr:nvGraphicFramePr>
          <xdr:xfrm>
            <a:off x="0" y="0"/>
            <a:ext cx="0" cy="0"/>
          </xdr:xfrm>
          <a:graphic>
            <a:graphicData uri="http://schemas.microsoft.com/office/drawing/2010/slicer">
              <sle:slicer xmlns:sle="http://schemas.microsoft.com/office/drawing/2010/slicer" name="preferred_brand"/>
            </a:graphicData>
          </a:graphic>
        </xdr:graphicFrame>
      </mc:Choice>
      <mc:Fallback xmlns="">
        <xdr:sp macro="" textlink="">
          <xdr:nvSpPr>
            <xdr:cNvPr id="0" name=""/>
            <xdr:cNvSpPr>
              <a:spLocks noTextEdit="1"/>
            </xdr:cNvSpPr>
          </xdr:nvSpPr>
          <xdr:spPr>
            <a:xfrm>
              <a:off x="6969293" y="20018543"/>
              <a:ext cx="1828800" cy="191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351924</xdr:colOff>
      <xdr:row>99</xdr:row>
      <xdr:rowOff>178971</xdr:rowOff>
    </xdr:from>
    <xdr:to>
      <xdr:col>11</xdr:col>
      <xdr:colOff>338388</xdr:colOff>
      <xdr:row>105</xdr:row>
      <xdr:rowOff>200526</xdr:rowOff>
    </xdr:to>
    <mc:AlternateContent xmlns:mc="http://schemas.openxmlformats.org/markup-compatibility/2006" xmlns:a14="http://schemas.microsoft.com/office/drawing/2010/main">
      <mc:Choice Requires="a14">
        <xdr:graphicFrame macro="">
          <xdr:nvGraphicFramePr>
            <xdr:cNvPr id="16" name="consumption_frequency">
              <a:extLst>
                <a:ext uri="{FF2B5EF4-FFF2-40B4-BE49-F238E27FC236}">
                  <a16:creationId xmlns:a16="http://schemas.microsoft.com/office/drawing/2014/main" id="{3076B9D1-33DF-4F21-8B63-95E948E961B8}"/>
                </a:ext>
              </a:extLst>
            </xdr:cNvPr>
            <xdr:cNvGraphicFramePr/>
          </xdr:nvGraphicFramePr>
          <xdr:xfrm>
            <a:off x="0" y="0"/>
            <a:ext cx="0" cy="0"/>
          </xdr:xfrm>
          <a:graphic>
            <a:graphicData uri="http://schemas.microsoft.com/office/drawing/2010/slicer">
              <sle:slicer xmlns:sle="http://schemas.microsoft.com/office/drawing/2010/slicer" name="consumption_frequency"/>
            </a:graphicData>
          </a:graphic>
        </xdr:graphicFrame>
      </mc:Choice>
      <mc:Fallback xmlns="">
        <xdr:sp macro="" textlink="">
          <xdr:nvSpPr>
            <xdr:cNvPr id="0" name=""/>
            <xdr:cNvSpPr>
              <a:spLocks noTextEdit="1"/>
            </xdr:cNvSpPr>
          </xdr:nvSpPr>
          <xdr:spPr>
            <a:xfrm>
              <a:off x="6994358" y="18790320"/>
              <a:ext cx="1828800" cy="1149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88734</xdr:colOff>
      <xdr:row>90</xdr:row>
      <xdr:rowOff>78707</xdr:rowOff>
    </xdr:from>
    <xdr:to>
      <xdr:col>15</xdr:col>
      <xdr:colOff>75199</xdr:colOff>
      <xdr:row>96</xdr:row>
      <xdr:rowOff>162929</xdr:rowOff>
    </xdr:to>
    <mc:AlternateContent xmlns:mc="http://schemas.openxmlformats.org/markup-compatibility/2006" xmlns:a14="http://schemas.microsoft.com/office/drawing/2010/main">
      <mc:Choice Requires="a14">
        <xdr:graphicFrame macro="">
          <xdr:nvGraphicFramePr>
            <xdr:cNvPr id="11" name="city_tier">
              <a:extLst>
                <a:ext uri="{FF2B5EF4-FFF2-40B4-BE49-F238E27FC236}">
                  <a16:creationId xmlns:a16="http://schemas.microsoft.com/office/drawing/2014/main" id="{FD91DC01-1A7A-4BDC-AF49-F4A08F74DF90}"/>
                </a:ext>
              </a:extLst>
            </xdr:cNvPr>
            <xdr:cNvGraphicFramePr/>
          </xdr:nvGraphicFramePr>
          <xdr:xfrm>
            <a:off x="0" y="0"/>
            <a:ext cx="0" cy="0"/>
          </xdr:xfrm>
          <a:graphic>
            <a:graphicData uri="http://schemas.microsoft.com/office/drawing/2010/slicer">
              <sle:slicer xmlns:sle="http://schemas.microsoft.com/office/drawing/2010/slicer" name="city_tier"/>
            </a:graphicData>
          </a:graphic>
        </xdr:graphicFrame>
      </mc:Choice>
      <mc:Fallback xmlns="">
        <xdr:sp macro="" textlink="">
          <xdr:nvSpPr>
            <xdr:cNvPr id="0" name=""/>
            <xdr:cNvSpPr>
              <a:spLocks noTextEdit="1"/>
            </xdr:cNvSpPr>
          </xdr:nvSpPr>
          <xdr:spPr>
            <a:xfrm>
              <a:off x="9287879" y="16998115"/>
              <a:ext cx="1828800" cy="1212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126999</xdr:colOff>
      <xdr:row>59</xdr:row>
      <xdr:rowOff>80680</xdr:rowOff>
    </xdr:from>
    <xdr:to>
      <xdr:col>29</xdr:col>
      <xdr:colOff>149701</xdr:colOff>
      <xdr:row>75</xdr:row>
      <xdr:rowOff>10583</xdr:rowOff>
    </xdr:to>
    <xdr:graphicFrame macro="">
      <xdr:nvGraphicFramePr>
        <xdr:cNvPr id="13" name="Chart 12">
          <a:extLst>
            <a:ext uri="{FF2B5EF4-FFF2-40B4-BE49-F238E27FC236}">
              <a16:creationId xmlns:a16="http://schemas.microsoft.com/office/drawing/2014/main" id="{749DEDBC-8937-4B49-BDFF-397DCB840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412750</xdr:colOff>
      <xdr:row>1</xdr:row>
      <xdr:rowOff>0</xdr:rowOff>
    </xdr:from>
    <xdr:to>
      <xdr:col>10</xdr:col>
      <xdr:colOff>497416</xdr:colOff>
      <xdr:row>24</xdr:row>
      <xdr:rowOff>43391</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835BD71A-A7F1-402E-8747-A696472797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956175" y="190500"/>
              <a:ext cx="3694641" cy="44248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549519</xdr:colOff>
      <xdr:row>46</xdr:row>
      <xdr:rowOff>13048</xdr:rowOff>
    </xdr:to>
    <xdr:sp macro="" textlink="">
      <xdr:nvSpPr>
        <xdr:cNvPr id="7" name="TextBox 6">
          <a:extLst>
            <a:ext uri="{FF2B5EF4-FFF2-40B4-BE49-F238E27FC236}">
              <a16:creationId xmlns:a16="http://schemas.microsoft.com/office/drawing/2014/main" id="{891DDA62-B1CC-4BFC-8E17-1594AF691FFE}"/>
            </a:ext>
          </a:extLst>
        </xdr:cNvPr>
        <xdr:cNvSpPr txBox="1"/>
      </xdr:nvSpPr>
      <xdr:spPr>
        <a:xfrm>
          <a:off x="0" y="0"/>
          <a:ext cx="18647019" cy="8776048"/>
        </a:xfrm>
        <a:prstGeom prst="rect">
          <a:avLst/>
        </a:prstGeom>
        <a:gradFill flip="none" rotWithShape="1">
          <a:gsLst>
            <a:gs pos="0">
              <a:srgbClr val="9A6B4A"/>
            </a:gs>
            <a:gs pos="30000">
              <a:srgbClr val="9A6B4A"/>
            </a:gs>
            <a:gs pos="56000">
              <a:srgbClr val="9A6B4A"/>
            </a:gs>
            <a:gs pos="92000">
              <a:srgbClr val="B88B6C"/>
            </a:gs>
          </a:gsLst>
          <a:lin ang="135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en-US" sz="1350" b="1" i="0" u="none" strike="noStrike" kern="1200" spc="0" baseline="0">
            <a:solidFill>
              <a:schemeClr val="bg2">
                <a:lumMod val="25000"/>
                <a:alpha val="90000"/>
              </a:schemeClr>
            </a:solidFill>
            <a:effectLst/>
            <a:latin typeface="+mn-lt"/>
            <a:ea typeface="+mn-ea"/>
            <a:cs typeface="+mn-cs"/>
          </a:endParaRPr>
        </a:p>
      </xdr:txBody>
    </xdr:sp>
    <xdr:clientData/>
  </xdr:twoCellAnchor>
  <xdr:twoCellAnchor>
    <xdr:from>
      <xdr:col>3</xdr:col>
      <xdr:colOff>393219</xdr:colOff>
      <xdr:row>4</xdr:row>
      <xdr:rowOff>109904</xdr:rowOff>
    </xdr:from>
    <xdr:to>
      <xdr:col>30</xdr:col>
      <xdr:colOff>0</xdr:colOff>
      <xdr:row>46</xdr:row>
      <xdr:rowOff>13048</xdr:rowOff>
    </xdr:to>
    <xdr:sp macro="" textlink="">
      <xdr:nvSpPr>
        <xdr:cNvPr id="8" name="TextBox 7">
          <a:extLst>
            <a:ext uri="{FF2B5EF4-FFF2-40B4-BE49-F238E27FC236}">
              <a16:creationId xmlns:a16="http://schemas.microsoft.com/office/drawing/2014/main" id="{506F97DA-7AF9-4812-8AD6-79387F89A92D}"/>
            </a:ext>
          </a:extLst>
        </xdr:cNvPr>
        <xdr:cNvSpPr txBox="1"/>
      </xdr:nvSpPr>
      <xdr:spPr>
        <a:xfrm>
          <a:off x="2201025" y="887455"/>
          <a:ext cx="15877036" cy="8067430"/>
        </a:xfrm>
        <a:prstGeom prst="round2SameRect">
          <a:avLst>
            <a:gd name="adj1" fmla="val 3186"/>
            <a:gd name="adj2" fmla="val 341"/>
          </a:avLst>
        </a:prstGeom>
        <a:solidFill>
          <a:srgbClr val="F5EFE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350" b="1" i="0" u="none" strike="noStrike" kern="1200" spc="0" baseline="0">
            <a:solidFill>
              <a:schemeClr val="bg2">
                <a:lumMod val="25000"/>
              </a:schemeClr>
            </a:solidFill>
            <a:effectLst/>
            <a:latin typeface="+mn-lt"/>
            <a:ea typeface="+mn-ea"/>
            <a:cs typeface="+mn-cs"/>
          </a:endParaRPr>
        </a:p>
      </xdr:txBody>
    </xdr:sp>
    <xdr:clientData/>
  </xdr:twoCellAnchor>
  <xdr:twoCellAnchor>
    <xdr:from>
      <xdr:col>14</xdr:col>
      <xdr:colOff>539558</xdr:colOff>
      <xdr:row>32</xdr:row>
      <xdr:rowOff>172122</xdr:rowOff>
    </xdr:from>
    <xdr:to>
      <xdr:col>23</xdr:col>
      <xdr:colOff>31229</xdr:colOff>
      <xdr:row>45</xdr:row>
      <xdr:rowOff>73821</xdr:rowOff>
    </xdr:to>
    <xdr:graphicFrame macro="">
      <xdr:nvGraphicFramePr>
        <xdr:cNvPr id="12" name="Chart 11">
          <a:extLst>
            <a:ext uri="{FF2B5EF4-FFF2-40B4-BE49-F238E27FC236}">
              <a16:creationId xmlns:a16="http://schemas.microsoft.com/office/drawing/2014/main" id="{9F59D0BF-FEF2-4C89-B4E2-85FDD4474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163399</xdr:colOff>
      <xdr:row>31</xdr:row>
      <xdr:rowOff>139895</xdr:rowOff>
    </xdr:from>
    <xdr:to>
      <xdr:col>27</xdr:col>
      <xdr:colOff>520850</xdr:colOff>
      <xdr:row>45</xdr:row>
      <xdr:rowOff>73821</xdr:rowOff>
    </xdr:to>
    <xdr:graphicFrame macro="">
      <xdr:nvGraphicFramePr>
        <xdr:cNvPr id="13" name="Chart 12">
          <a:extLst>
            <a:ext uri="{FF2B5EF4-FFF2-40B4-BE49-F238E27FC236}">
              <a16:creationId xmlns:a16="http://schemas.microsoft.com/office/drawing/2014/main" id="{B930DF29-7472-4636-A50B-E743076AB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539165</xdr:colOff>
      <xdr:row>19</xdr:row>
      <xdr:rowOff>105833</xdr:rowOff>
    </xdr:from>
    <xdr:to>
      <xdr:col>23</xdr:col>
      <xdr:colOff>20239</xdr:colOff>
      <xdr:row>32</xdr:row>
      <xdr:rowOff>56273</xdr:rowOff>
    </xdr:to>
    <xdr:graphicFrame macro="">
      <xdr:nvGraphicFramePr>
        <xdr:cNvPr id="15" name="Chart 14">
          <a:extLst>
            <a:ext uri="{FF2B5EF4-FFF2-40B4-BE49-F238E27FC236}">
              <a16:creationId xmlns:a16="http://schemas.microsoft.com/office/drawing/2014/main" id="{AA7C01B2-9CEA-4E7E-9603-7B4CED2BD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351208</xdr:colOff>
      <xdr:row>5</xdr:row>
      <xdr:rowOff>149917</xdr:rowOff>
    </xdr:from>
    <xdr:to>
      <xdr:col>23</xdr:col>
      <xdr:colOff>37426</xdr:colOff>
      <xdr:row>19</xdr:row>
      <xdr:rowOff>20249</xdr:rowOff>
    </xdr:to>
    <xdr:graphicFrame macro="">
      <xdr:nvGraphicFramePr>
        <xdr:cNvPr id="16" name="Chart 15">
          <a:extLst>
            <a:ext uri="{FF2B5EF4-FFF2-40B4-BE49-F238E27FC236}">
              <a16:creationId xmlns:a16="http://schemas.microsoft.com/office/drawing/2014/main" id="{3FB2F848-3D13-40A2-92F4-38DA7EE38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267866</xdr:colOff>
      <xdr:row>0</xdr:row>
      <xdr:rowOff>145125</xdr:rowOff>
    </xdr:from>
    <xdr:to>
      <xdr:col>16</xdr:col>
      <xdr:colOff>160819</xdr:colOff>
      <xdr:row>6</xdr:row>
      <xdr:rowOff>105776</xdr:rowOff>
    </xdr:to>
    <xdr:sp macro="" textlink="">
      <xdr:nvSpPr>
        <xdr:cNvPr id="3" name="Teardrop 2">
          <a:extLst>
            <a:ext uri="{FF2B5EF4-FFF2-40B4-BE49-F238E27FC236}">
              <a16:creationId xmlns:a16="http://schemas.microsoft.com/office/drawing/2014/main" id="{B287DF8E-C478-4BD6-9D6D-4FFFB453E113}"/>
            </a:ext>
          </a:extLst>
        </xdr:cNvPr>
        <xdr:cNvSpPr/>
      </xdr:nvSpPr>
      <xdr:spPr>
        <a:xfrm rot="4100219">
          <a:off x="8806517" y="132130"/>
          <a:ext cx="1084913" cy="1110904"/>
        </a:xfrm>
        <a:prstGeom prst="teardrop">
          <a:avLst>
            <a:gd name="adj" fmla="val 100933"/>
          </a:avLst>
        </a:prstGeom>
        <a:solidFill>
          <a:srgbClr val="F5EFE6"/>
        </a:solidFill>
        <a:ln>
          <a:solidFill>
            <a:srgbClr val="F5EFE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32</xdr:row>
      <xdr:rowOff>174244</xdr:rowOff>
    </xdr:from>
    <xdr:to>
      <xdr:col>14</xdr:col>
      <xdr:colOff>405983</xdr:colOff>
      <xdr:row>45</xdr:row>
      <xdr:rowOff>89436</xdr:rowOff>
    </xdr:to>
    <xdr:graphicFrame macro="">
      <xdr:nvGraphicFramePr>
        <xdr:cNvPr id="17" name="Chart 16">
          <a:extLst>
            <a:ext uri="{FF2B5EF4-FFF2-40B4-BE49-F238E27FC236}">
              <a16:creationId xmlns:a16="http://schemas.microsoft.com/office/drawing/2014/main" id="{C345000B-5B61-4839-A9D0-CC0715E6E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393219</xdr:colOff>
      <xdr:row>0</xdr:row>
      <xdr:rowOff>119063</xdr:rowOff>
    </xdr:from>
    <xdr:to>
      <xdr:col>15</xdr:col>
      <xdr:colOff>278228</xdr:colOff>
      <xdr:row>5</xdr:row>
      <xdr:rowOff>92604</xdr:rowOff>
    </xdr:to>
    <xdr:sp macro="" textlink="">
      <xdr:nvSpPr>
        <xdr:cNvPr id="2" name="Rectangle: Top Corners Rounded 1">
          <a:extLst>
            <a:ext uri="{FF2B5EF4-FFF2-40B4-BE49-F238E27FC236}">
              <a16:creationId xmlns:a16="http://schemas.microsoft.com/office/drawing/2014/main" id="{BC735236-9C60-4C12-A397-EEA11FE2A4E6}"/>
            </a:ext>
          </a:extLst>
        </xdr:cNvPr>
        <xdr:cNvSpPr/>
      </xdr:nvSpPr>
      <xdr:spPr>
        <a:xfrm>
          <a:off x="2206632" y="119063"/>
          <a:ext cx="7138663" cy="889406"/>
        </a:xfrm>
        <a:prstGeom prst="round2SameRect">
          <a:avLst>
            <a:gd name="adj1" fmla="val 22549"/>
            <a:gd name="adj2" fmla="val 0"/>
          </a:avLst>
        </a:prstGeom>
        <a:solidFill>
          <a:srgbClr val="F5EFE6"/>
        </a:solidFill>
        <a:ln>
          <a:solidFill>
            <a:srgbClr val="F5EFE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38878</xdr:colOff>
      <xdr:row>5</xdr:row>
      <xdr:rowOff>149918</xdr:rowOff>
    </xdr:from>
    <xdr:to>
      <xdr:col>17</xdr:col>
      <xdr:colOff>222325</xdr:colOff>
      <xdr:row>19</xdr:row>
      <xdr:rowOff>1</xdr:rowOff>
    </xdr:to>
    <xdr:graphicFrame macro="">
      <xdr:nvGraphicFramePr>
        <xdr:cNvPr id="10" name="Chart 9">
          <a:extLst>
            <a:ext uri="{FF2B5EF4-FFF2-40B4-BE49-F238E27FC236}">
              <a16:creationId xmlns:a16="http://schemas.microsoft.com/office/drawing/2014/main" id="{29747E29-1857-4A7B-B8C9-C763421A6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100292</xdr:colOff>
      <xdr:row>1</xdr:row>
      <xdr:rowOff>44042</xdr:rowOff>
    </xdr:from>
    <xdr:to>
      <xdr:col>20</xdr:col>
      <xdr:colOff>603434</xdr:colOff>
      <xdr:row>5</xdr:row>
      <xdr:rowOff>30812</xdr:rowOff>
    </xdr:to>
    <xdr:sp macro="" textlink="">
      <xdr:nvSpPr>
        <xdr:cNvPr id="24" name="Rectangle: Top Corners Rounded 23">
          <a:extLst>
            <a:ext uri="{FF2B5EF4-FFF2-40B4-BE49-F238E27FC236}">
              <a16:creationId xmlns:a16="http://schemas.microsoft.com/office/drawing/2014/main" id="{97F75939-35CD-483C-BFF0-8ACFCA2C5FCE}"/>
            </a:ext>
          </a:extLst>
        </xdr:cNvPr>
        <xdr:cNvSpPr/>
      </xdr:nvSpPr>
      <xdr:spPr>
        <a:xfrm>
          <a:off x="10452874" y="231419"/>
          <a:ext cx="2330068" cy="736278"/>
        </a:xfrm>
        <a:prstGeom prst="round2SameRect">
          <a:avLst>
            <a:gd name="adj1" fmla="val 16667"/>
            <a:gd name="adj2" fmla="val 12727"/>
          </a:avLst>
        </a:prstGeom>
        <a:solidFill>
          <a:srgbClr val="4A2C2A"/>
        </a:solidFill>
        <a:ln>
          <a:solidFill>
            <a:srgbClr val="4A2C2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100292</xdr:colOff>
      <xdr:row>1</xdr:row>
      <xdr:rowOff>83875</xdr:rowOff>
    </xdr:from>
    <xdr:to>
      <xdr:col>20</xdr:col>
      <xdr:colOff>603434</xdr:colOff>
      <xdr:row>5</xdr:row>
      <xdr:rowOff>44185</xdr:rowOff>
    </xdr:to>
    <xdr:sp macro="" textlink="">
      <xdr:nvSpPr>
        <xdr:cNvPr id="4" name="Rectangle: Top Corners Rounded 3">
          <a:extLst>
            <a:ext uri="{FF2B5EF4-FFF2-40B4-BE49-F238E27FC236}">
              <a16:creationId xmlns:a16="http://schemas.microsoft.com/office/drawing/2014/main" id="{480CF39D-6784-4611-80C5-F1B3A40A2CD7}"/>
            </a:ext>
          </a:extLst>
        </xdr:cNvPr>
        <xdr:cNvSpPr/>
      </xdr:nvSpPr>
      <xdr:spPr>
        <a:xfrm>
          <a:off x="10381244" y="280423"/>
          <a:ext cx="2317428" cy="746500"/>
        </a:xfrm>
        <a:prstGeom prst="round2SameRect">
          <a:avLst>
            <a:gd name="adj1" fmla="val 16667"/>
            <a:gd name="adj2" fmla="val 12727"/>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103700</xdr:colOff>
      <xdr:row>1</xdr:row>
      <xdr:rowOff>25172</xdr:rowOff>
    </xdr:from>
    <xdr:to>
      <xdr:col>24</xdr:col>
      <xdr:colOff>506924</xdr:colOff>
      <xdr:row>5</xdr:row>
      <xdr:rowOff>11942</xdr:rowOff>
    </xdr:to>
    <xdr:sp macro="" textlink="">
      <xdr:nvSpPr>
        <xdr:cNvPr id="26" name="Rectangle: Top Corners Rounded 25">
          <a:extLst>
            <a:ext uri="{FF2B5EF4-FFF2-40B4-BE49-F238E27FC236}">
              <a16:creationId xmlns:a16="http://schemas.microsoft.com/office/drawing/2014/main" id="{CFD3777C-760B-4AC9-BA72-5BC9D07A7DEA}"/>
            </a:ext>
          </a:extLst>
        </xdr:cNvPr>
        <xdr:cNvSpPr/>
      </xdr:nvSpPr>
      <xdr:spPr>
        <a:xfrm>
          <a:off x="12892184" y="212549"/>
          <a:ext cx="2230150" cy="736278"/>
        </a:xfrm>
        <a:prstGeom prst="round2SameRect">
          <a:avLst>
            <a:gd name="adj1" fmla="val 16667"/>
            <a:gd name="adj2" fmla="val 12727"/>
          </a:avLst>
        </a:prstGeom>
        <a:solidFill>
          <a:srgbClr val="4A2C2A"/>
        </a:solidFill>
        <a:ln>
          <a:solidFill>
            <a:srgbClr val="4A2C2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83013</xdr:colOff>
      <xdr:row>1</xdr:row>
      <xdr:rowOff>73025</xdr:rowOff>
    </xdr:from>
    <xdr:to>
      <xdr:col>24</xdr:col>
      <xdr:colOff>509426</xdr:colOff>
      <xdr:row>5</xdr:row>
      <xdr:rowOff>26458</xdr:rowOff>
    </xdr:to>
    <xdr:sp macro="" textlink="">
      <xdr:nvSpPr>
        <xdr:cNvPr id="18" name="Rectangle: Top Corners Rounded 17">
          <a:extLst>
            <a:ext uri="{FF2B5EF4-FFF2-40B4-BE49-F238E27FC236}">
              <a16:creationId xmlns:a16="http://schemas.microsoft.com/office/drawing/2014/main" id="{1DA61FF8-9E3E-457D-BFD3-CCB9BB637FD8}"/>
            </a:ext>
          </a:extLst>
        </xdr:cNvPr>
        <xdr:cNvSpPr/>
      </xdr:nvSpPr>
      <xdr:spPr>
        <a:xfrm>
          <a:off x="12871497" y="260402"/>
          <a:ext cx="2253339" cy="702941"/>
        </a:xfrm>
        <a:prstGeom prst="round2SameRect">
          <a:avLst>
            <a:gd name="adj1" fmla="val 16667"/>
            <a:gd name="adj2" fmla="val 12727"/>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0</xdr:colOff>
      <xdr:row>1</xdr:row>
      <xdr:rowOff>23064</xdr:rowOff>
    </xdr:from>
    <xdr:to>
      <xdr:col>29</xdr:col>
      <xdr:colOff>132290</xdr:colOff>
      <xdr:row>5</xdr:row>
      <xdr:rowOff>7666</xdr:rowOff>
    </xdr:to>
    <xdr:sp macro="" textlink="">
      <xdr:nvSpPr>
        <xdr:cNvPr id="27" name="Rectangle: Top Corners Rounded 26">
          <a:extLst>
            <a:ext uri="{FF2B5EF4-FFF2-40B4-BE49-F238E27FC236}">
              <a16:creationId xmlns:a16="http://schemas.microsoft.com/office/drawing/2014/main" id="{2CCDA7DE-0F41-420B-975F-38497EFEB039}"/>
            </a:ext>
          </a:extLst>
        </xdr:cNvPr>
        <xdr:cNvSpPr/>
      </xdr:nvSpPr>
      <xdr:spPr>
        <a:xfrm>
          <a:off x="15224385" y="210441"/>
          <a:ext cx="2568192" cy="734110"/>
        </a:xfrm>
        <a:prstGeom prst="round2SameRect">
          <a:avLst>
            <a:gd name="adj1" fmla="val 16667"/>
            <a:gd name="adj2" fmla="val 12727"/>
          </a:avLst>
        </a:prstGeom>
        <a:solidFill>
          <a:srgbClr val="4A2C2A"/>
        </a:solidFill>
        <a:ln>
          <a:solidFill>
            <a:srgbClr val="4A2C2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0</xdr:colOff>
      <xdr:row>1</xdr:row>
      <xdr:rowOff>70189</xdr:rowOff>
    </xdr:from>
    <xdr:to>
      <xdr:col>29</xdr:col>
      <xdr:colOff>132290</xdr:colOff>
      <xdr:row>5</xdr:row>
      <xdr:rowOff>46694</xdr:rowOff>
    </xdr:to>
    <xdr:sp macro="" textlink="">
      <xdr:nvSpPr>
        <xdr:cNvPr id="19" name="Rectangle: Top Corners Rounded 18">
          <a:extLst>
            <a:ext uri="{FF2B5EF4-FFF2-40B4-BE49-F238E27FC236}">
              <a16:creationId xmlns:a16="http://schemas.microsoft.com/office/drawing/2014/main" id="{3C1AB364-FFA2-46DA-8A9A-1884306B3FA8}"/>
            </a:ext>
          </a:extLst>
        </xdr:cNvPr>
        <xdr:cNvSpPr/>
      </xdr:nvSpPr>
      <xdr:spPr>
        <a:xfrm>
          <a:off x="15224385" y="257566"/>
          <a:ext cx="2568192" cy="726013"/>
        </a:xfrm>
        <a:prstGeom prst="round2SameRect">
          <a:avLst>
            <a:gd name="adj1" fmla="val 16667"/>
            <a:gd name="adj2" fmla="val 12727"/>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409118</xdr:colOff>
      <xdr:row>3</xdr:row>
      <xdr:rowOff>83225</xdr:rowOff>
    </xdr:from>
    <xdr:to>
      <xdr:col>20</xdr:col>
      <xdr:colOff>151190</xdr:colOff>
      <xdr:row>5</xdr:row>
      <xdr:rowOff>45357</xdr:rowOff>
    </xdr:to>
    <xdr:sp macro="" textlink="">
      <xdr:nvSpPr>
        <xdr:cNvPr id="28" name="TextBox 27">
          <a:extLst>
            <a:ext uri="{FF2B5EF4-FFF2-40B4-BE49-F238E27FC236}">
              <a16:creationId xmlns:a16="http://schemas.microsoft.com/office/drawing/2014/main" id="{535204EE-2218-44C2-B9E5-DE854B2C93DC}"/>
            </a:ext>
          </a:extLst>
        </xdr:cNvPr>
        <xdr:cNvSpPr txBox="1"/>
      </xdr:nvSpPr>
      <xdr:spPr>
        <a:xfrm>
          <a:off x="10690070" y="672868"/>
          <a:ext cx="1556358" cy="355227"/>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     Cups per Day </a:t>
          </a:r>
        </a:p>
      </xdr:txBody>
    </xdr:sp>
    <xdr:clientData/>
  </xdr:twoCellAnchor>
  <xdr:twoCellAnchor>
    <xdr:from>
      <xdr:col>25</xdr:col>
      <xdr:colOff>468443</xdr:colOff>
      <xdr:row>3</xdr:row>
      <xdr:rowOff>71228</xdr:rowOff>
    </xdr:from>
    <xdr:to>
      <xdr:col>28</xdr:col>
      <xdr:colOff>441456</xdr:colOff>
      <xdr:row>5</xdr:row>
      <xdr:rowOff>29374</xdr:rowOff>
    </xdr:to>
    <xdr:sp macro="" textlink="">
      <xdr:nvSpPr>
        <xdr:cNvPr id="30" name="TextBox 29">
          <a:extLst>
            <a:ext uri="{FF2B5EF4-FFF2-40B4-BE49-F238E27FC236}">
              <a16:creationId xmlns:a16="http://schemas.microsoft.com/office/drawing/2014/main" id="{C142B7A3-5F94-41A3-A2F5-FC5A041F3D5D}"/>
            </a:ext>
          </a:extLst>
        </xdr:cNvPr>
        <xdr:cNvSpPr txBox="1"/>
      </xdr:nvSpPr>
      <xdr:spPr>
        <a:xfrm>
          <a:off x="15692828" y="633359"/>
          <a:ext cx="1799939" cy="332900"/>
        </a:xfrm>
        <a:prstGeom prst="roundRect">
          <a:avLst/>
        </a:prstGeom>
        <a:solidFill>
          <a:schemeClr val="bg1"/>
        </a:solidFill>
        <a:ln w="9525" cap="rnd"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Top</a:t>
          </a:r>
          <a:r>
            <a:rPr lang="en-US" sz="1600" baseline="0"/>
            <a:t> Coffee Choice</a:t>
          </a:r>
          <a:r>
            <a:rPr lang="en-US" sz="1600"/>
            <a:t> </a:t>
          </a:r>
        </a:p>
      </xdr:txBody>
    </xdr:sp>
    <xdr:clientData/>
  </xdr:twoCellAnchor>
  <xdr:oneCellAnchor>
    <xdr:from>
      <xdr:col>25</xdr:col>
      <xdr:colOff>25808</xdr:colOff>
      <xdr:row>1</xdr:row>
      <xdr:rowOff>83379</xdr:rowOff>
    </xdr:from>
    <xdr:ext cx="2526770" cy="396874"/>
    <xdr:sp macro="" textlink="Pivot_tables.xlsx!E143">
      <xdr:nvSpPr>
        <xdr:cNvPr id="22" name="TextBox 21">
          <a:extLst>
            <a:ext uri="{FF2B5EF4-FFF2-40B4-BE49-F238E27FC236}">
              <a16:creationId xmlns:a16="http://schemas.microsoft.com/office/drawing/2014/main" id="{8384EECA-02CC-4C96-9AA5-91A65926ECD3}"/>
            </a:ext>
          </a:extLst>
        </xdr:cNvPr>
        <xdr:cNvSpPr txBox="1"/>
      </xdr:nvSpPr>
      <xdr:spPr>
        <a:xfrm>
          <a:off x="15250193" y="270756"/>
          <a:ext cx="2526770" cy="396874"/>
        </a:xfrm>
        <a:prstGeom prst="round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C764F282-BF25-4CB2-8C88-57651FA8EA67}" type="TxLink">
            <a:rPr lang="en-US" sz="2400" b="0" i="0" u="none" strike="noStrike">
              <a:solidFill>
                <a:srgbClr val="4A2C2A">
                  <a:alpha val="90000"/>
                </a:srgbClr>
              </a:solidFill>
              <a:latin typeface="Calibri"/>
              <a:ea typeface="Calibri"/>
              <a:cs typeface="Calibri"/>
            </a:rPr>
            <a:pPr/>
            <a:t>Filter Coffee (21%)</a:t>
          </a:fld>
          <a:endParaRPr lang="en-US" sz="4800">
            <a:solidFill>
              <a:srgbClr val="4A2C2A">
                <a:alpha val="90000"/>
              </a:srgbClr>
            </a:solidFill>
          </a:endParaRPr>
        </a:p>
      </xdr:txBody>
    </xdr:sp>
    <xdr:clientData/>
  </xdr:oneCellAnchor>
  <xdr:twoCellAnchor editAs="oneCell">
    <xdr:from>
      <xdr:col>0</xdr:col>
      <xdr:colOff>141054</xdr:colOff>
      <xdr:row>22</xdr:row>
      <xdr:rowOff>168434</xdr:rowOff>
    </xdr:from>
    <xdr:to>
      <xdr:col>3</xdr:col>
      <xdr:colOff>234368</xdr:colOff>
      <xdr:row>28</xdr:row>
      <xdr:rowOff>184051</xdr:rowOff>
    </xdr:to>
    <mc:AlternateContent xmlns:mc="http://schemas.openxmlformats.org/markup-compatibility/2006" xmlns:a14="http://schemas.microsoft.com/office/drawing/2010/main">
      <mc:Choice Requires="a14">
        <xdr:graphicFrame macro="">
          <xdr:nvGraphicFramePr>
            <xdr:cNvPr id="35" name="consumption_frequency 1">
              <a:extLst>
                <a:ext uri="{FF2B5EF4-FFF2-40B4-BE49-F238E27FC236}">
                  <a16:creationId xmlns:a16="http://schemas.microsoft.com/office/drawing/2014/main" id="{4C2F40CD-94AC-4C9E-841B-7A41ABE7B2E3}"/>
                </a:ext>
              </a:extLst>
            </xdr:cNvPr>
            <xdr:cNvGraphicFramePr/>
          </xdr:nvGraphicFramePr>
          <xdr:xfrm>
            <a:off x="0" y="0"/>
            <a:ext cx="0" cy="0"/>
          </xdr:xfrm>
          <a:graphic>
            <a:graphicData uri="http://schemas.microsoft.com/office/drawing/2010/slicer">
              <sle:slicer xmlns:sle="http://schemas.microsoft.com/office/drawing/2010/slicer" name="consumption_frequency 1"/>
            </a:graphicData>
          </a:graphic>
        </xdr:graphicFrame>
      </mc:Choice>
      <mc:Fallback xmlns="">
        <xdr:sp macro="" textlink="">
          <xdr:nvSpPr>
            <xdr:cNvPr id="0" name=""/>
            <xdr:cNvSpPr>
              <a:spLocks noTextEdit="1"/>
            </xdr:cNvSpPr>
          </xdr:nvSpPr>
          <xdr:spPr>
            <a:xfrm>
              <a:off x="141054" y="4492482"/>
              <a:ext cx="1907600" cy="1194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141053</xdr:colOff>
      <xdr:row>28</xdr:row>
      <xdr:rowOff>123575</xdr:rowOff>
    </xdr:from>
    <xdr:to>
      <xdr:col>3</xdr:col>
      <xdr:colOff>234367</xdr:colOff>
      <xdr:row>34</xdr:row>
      <xdr:rowOff>86326</xdr:rowOff>
    </xdr:to>
    <mc:AlternateContent xmlns:mc="http://schemas.openxmlformats.org/markup-compatibility/2006" xmlns:a14="http://schemas.microsoft.com/office/drawing/2010/main">
      <mc:Choice Requires="a14">
        <xdr:graphicFrame macro="">
          <xdr:nvGraphicFramePr>
            <xdr:cNvPr id="36" name="city_tier 1">
              <a:extLst>
                <a:ext uri="{FF2B5EF4-FFF2-40B4-BE49-F238E27FC236}">
                  <a16:creationId xmlns:a16="http://schemas.microsoft.com/office/drawing/2014/main" id="{B04E82B0-129A-4EE1-A4CB-09C7691E7378}"/>
                </a:ext>
              </a:extLst>
            </xdr:cNvPr>
            <xdr:cNvGraphicFramePr/>
          </xdr:nvGraphicFramePr>
          <xdr:xfrm>
            <a:off x="0" y="0"/>
            <a:ext cx="0" cy="0"/>
          </xdr:xfrm>
          <a:graphic>
            <a:graphicData uri="http://schemas.microsoft.com/office/drawing/2010/slicer">
              <sle:slicer xmlns:sle="http://schemas.microsoft.com/office/drawing/2010/slicer" name="city_tier 1"/>
            </a:graphicData>
          </a:graphic>
        </xdr:graphicFrame>
      </mc:Choice>
      <mc:Fallback xmlns="">
        <xdr:sp macro="" textlink="">
          <xdr:nvSpPr>
            <xdr:cNvPr id="0" name=""/>
            <xdr:cNvSpPr>
              <a:spLocks noTextEdit="1"/>
            </xdr:cNvSpPr>
          </xdr:nvSpPr>
          <xdr:spPr>
            <a:xfrm>
              <a:off x="141053" y="5626908"/>
              <a:ext cx="1907600" cy="1142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372720</xdr:colOff>
      <xdr:row>1</xdr:row>
      <xdr:rowOff>110144</xdr:rowOff>
    </xdr:from>
    <xdr:to>
      <xdr:col>15</xdr:col>
      <xdr:colOff>28827</xdr:colOff>
      <xdr:row>5</xdr:row>
      <xdr:rowOff>38294</xdr:rowOff>
    </xdr:to>
    <xdr:sp macro="" textlink="">
      <xdr:nvSpPr>
        <xdr:cNvPr id="6" name="TextBox 5">
          <a:extLst>
            <a:ext uri="{FF2B5EF4-FFF2-40B4-BE49-F238E27FC236}">
              <a16:creationId xmlns:a16="http://schemas.microsoft.com/office/drawing/2014/main" id="{0340A441-2360-47DF-894E-C5735327FA17}"/>
            </a:ext>
          </a:extLst>
        </xdr:cNvPr>
        <xdr:cNvSpPr txBox="1"/>
      </xdr:nvSpPr>
      <xdr:spPr>
        <a:xfrm>
          <a:off x="2808622" y="297521"/>
          <a:ext cx="6354836" cy="677658"/>
        </a:xfrm>
        <a:custGeom>
          <a:avLst/>
          <a:gdLst>
            <a:gd name="connsiteX0" fmla="*/ 0 w 6282754"/>
            <a:gd name="connsiteY0" fmla="*/ 0 h 705405"/>
            <a:gd name="connsiteX1" fmla="*/ 6282754 w 6282754"/>
            <a:gd name="connsiteY1" fmla="*/ 0 h 705405"/>
            <a:gd name="connsiteX2" fmla="*/ 6282754 w 6282754"/>
            <a:gd name="connsiteY2" fmla="*/ 705405 h 705405"/>
            <a:gd name="connsiteX3" fmla="*/ 0 w 6282754"/>
            <a:gd name="connsiteY3" fmla="*/ 705405 h 705405"/>
            <a:gd name="connsiteX4" fmla="*/ 0 w 6282754"/>
            <a:gd name="connsiteY4" fmla="*/ 0 h 705405"/>
            <a:gd name="connsiteX0" fmla="*/ 0 w 6282754"/>
            <a:gd name="connsiteY0" fmla="*/ 0 h 705405"/>
            <a:gd name="connsiteX1" fmla="*/ 5798944 w 6282754"/>
            <a:gd name="connsiteY1" fmla="*/ 9929 h 705405"/>
            <a:gd name="connsiteX2" fmla="*/ 6282754 w 6282754"/>
            <a:gd name="connsiteY2" fmla="*/ 0 h 705405"/>
            <a:gd name="connsiteX3" fmla="*/ 6282754 w 6282754"/>
            <a:gd name="connsiteY3" fmla="*/ 705405 h 705405"/>
            <a:gd name="connsiteX4" fmla="*/ 0 w 6282754"/>
            <a:gd name="connsiteY4" fmla="*/ 705405 h 705405"/>
            <a:gd name="connsiteX5" fmla="*/ 0 w 6282754"/>
            <a:gd name="connsiteY5" fmla="*/ 0 h 705405"/>
            <a:gd name="connsiteX0" fmla="*/ 0 w 6282754"/>
            <a:gd name="connsiteY0" fmla="*/ 0 h 705405"/>
            <a:gd name="connsiteX1" fmla="*/ 5798944 w 6282754"/>
            <a:gd name="connsiteY1" fmla="*/ 9929 h 705405"/>
            <a:gd name="connsiteX2" fmla="*/ 6282754 w 6282754"/>
            <a:gd name="connsiteY2" fmla="*/ 0 h 705405"/>
            <a:gd name="connsiteX3" fmla="*/ 6282754 w 6282754"/>
            <a:gd name="connsiteY3" fmla="*/ 705405 h 705405"/>
            <a:gd name="connsiteX4" fmla="*/ 0 w 6282754"/>
            <a:gd name="connsiteY4" fmla="*/ 705405 h 705405"/>
            <a:gd name="connsiteX5" fmla="*/ 0 w 6282754"/>
            <a:gd name="connsiteY5" fmla="*/ 0 h 705405"/>
            <a:gd name="connsiteX0" fmla="*/ 0 w 6312992"/>
            <a:gd name="connsiteY0" fmla="*/ 0 h 705405"/>
            <a:gd name="connsiteX1" fmla="*/ 5798944 w 6312992"/>
            <a:gd name="connsiteY1" fmla="*/ 9929 h 705405"/>
            <a:gd name="connsiteX2" fmla="*/ 6312992 w 6312992"/>
            <a:gd name="connsiteY2" fmla="*/ 302381 h 705405"/>
            <a:gd name="connsiteX3" fmla="*/ 6282754 w 6312992"/>
            <a:gd name="connsiteY3" fmla="*/ 705405 h 705405"/>
            <a:gd name="connsiteX4" fmla="*/ 0 w 6312992"/>
            <a:gd name="connsiteY4" fmla="*/ 705405 h 705405"/>
            <a:gd name="connsiteX5" fmla="*/ 0 w 6312992"/>
            <a:gd name="connsiteY5" fmla="*/ 0 h 7054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312992" h="705405">
              <a:moveTo>
                <a:pt x="0" y="0"/>
              </a:moveTo>
              <a:lnTo>
                <a:pt x="5798944" y="9929"/>
              </a:lnTo>
              <a:cubicBezTo>
                <a:pt x="6307952" y="278762"/>
                <a:pt x="6151722" y="305691"/>
                <a:pt x="6312992" y="302381"/>
              </a:cubicBezTo>
              <a:lnTo>
                <a:pt x="6282754" y="705405"/>
              </a:lnTo>
              <a:lnTo>
                <a:pt x="0" y="705405"/>
              </a:lnTo>
              <a:lnTo>
                <a:pt x="0" y="0"/>
              </a:lnTo>
              <a:close/>
            </a:path>
          </a:pathLst>
        </a:custGeom>
        <a:solidFill>
          <a:srgbClr val="F5EFE6"/>
        </a:solidFill>
        <a:ln w="9525" cmpd="sng">
          <a:solidFill>
            <a:srgbClr val="F5EFE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accent2">
                  <a:lumMod val="50000"/>
                </a:schemeClr>
              </a:solidFill>
              <a:latin typeface="Berlin Sans FB" panose="020E0602020502020306" pitchFamily="34" charset="0"/>
              <a:cs typeface="Segoe UI" panose="020B0502040204020203" pitchFamily="34" charset="0"/>
            </a:rPr>
            <a:t>Coffee Consumption Analysis</a:t>
          </a:r>
        </a:p>
      </xdr:txBody>
    </xdr:sp>
    <xdr:clientData/>
  </xdr:twoCellAnchor>
  <xdr:twoCellAnchor editAs="oneCell">
    <xdr:from>
      <xdr:col>0</xdr:col>
      <xdr:colOff>124920</xdr:colOff>
      <xdr:row>2</xdr:row>
      <xdr:rowOff>46845</xdr:rowOff>
    </xdr:from>
    <xdr:to>
      <xdr:col>3</xdr:col>
      <xdr:colOff>234464</xdr:colOff>
      <xdr:row>14</xdr:row>
      <xdr:rowOff>46844</xdr:rowOff>
    </xdr:to>
    <xdr:pic>
      <xdr:nvPicPr>
        <xdr:cNvPr id="58" name="Picture 57">
          <a:extLst>
            <a:ext uri="{FF2B5EF4-FFF2-40B4-BE49-F238E27FC236}">
              <a16:creationId xmlns:a16="http://schemas.microsoft.com/office/drawing/2014/main" id="{58C0DBA1-E66E-400A-B4AD-7A37B7B51F5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4920" y="421599"/>
          <a:ext cx="1936470" cy="2248524"/>
        </a:xfrm>
        <a:prstGeom prst="rect">
          <a:avLst/>
        </a:prstGeom>
      </xdr:spPr>
    </xdr:pic>
    <xdr:clientData/>
  </xdr:twoCellAnchor>
  <xdr:twoCellAnchor editAs="oneCell">
    <xdr:from>
      <xdr:col>0</xdr:col>
      <xdr:colOff>129940</xdr:colOff>
      <xdr:row>11</xdr:row>
      <xdr:rowOff>136111</xdr:rowOff>
    </xdr:from>
    <xdr:to>
      <xdr:col>3</xdr:col>
      <xdr:colOff>219249</xdr:colOff>
      <xdr:row>19</xdr:row>
      <xdr:rowOff>73653</xdr:rowOff>
    </xdr:to>
    <mc:AlternateContent xmlns:mc="http://schemas.openxmlformats.org/markup-compatibility/2006" xmlns:a14="http://schemas.microsoft.com/office/drawing/2010/main">
      <mc:Choice Requires="a14">
        <xdr:graphicFrame macro="">
          <xdr:nvGraphicFramePr>
            <xdr:cNvPr id="31" name="age_group 1">
              <a:extLst>
                <a:ext uri="{FF2B5EF4-FFF2-40B4-BE49-F238E27FC236}">
                  <a16:creationId xmlns:a16="http://schemas.microsoft.com/office/drawing/2014/main" id="{B6B5718B-18C4-4B89-A7FF-4114215ED27E}"/>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29940" y="2298135"/>
              <a:ext cx="1903595" cy="1509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119314</xdr:colOff>
      <xdr:row>3</xdr:row>
      <xdr:rowOff>71228</xdr:rowOff>
    </xdr:from>
    <xdr:to>
      <xdr:col>24</xdr:col>
      <xdr:colOff>507098</xdr:colOff>
      <xdr:row>4</xdr:row>
      <xdr:rowOff>185583</xdr:rowOff>
    </xdr:to>
    <xdr:sp macro="" textlink="">
      <xdr:nvSpPr>
        <xdr:cNvPr id="29" name="TextBox 28">
          <a:extLst>
            <a:ext uri="{FF2B5EF4-FFF2-40B4-BE49-F238E27FC236}">
              <a16:creationId xmlns:a16="http://schemas.microsoft.com/office/drawing/2014/main" id="{5F212269-CB41-4A94-99C9-6E4E243C849A}"/>
            </a:ext>
          </a:extLst>
        </xdr:cNvPr>
        <xdr:cNvSpPr txBox="1"/>
      </xdr:nvSpPr>
      <xdr:spPr>
        <a:xfrm>
          <a:off x="12907798" y="633359"/>
          <a:ext cx="2214710" cy="301732"/>
        </a:xfrm>
        <a:prstGeom prst="roundRect">
          <a:avLst/>
        </a:prstGeom>
        <a:solidFill>
          <a:schemeClr val="bg1"/>
        </a:solidFill>
        <a:ln w="9525" cap="rnd"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a:t>
          </a:r>
          <a:r>
            <a:rPr lang="en-US" sz="1600" baseline="0"/>
            <a:t> Monthly Expenses</a:t>
          </a:r>
          <a:r>
            <a:rPr lang="en-US" sz="1600"/>
            <a:t> </a:t>
          </a:r>
        </a:p>
      </xdr:txBody>
    </xdr:sp>
    <xdr:clientData/>
  </xdr:twoCellAnchor>
  <xdr:oneCellAnchor>
    <xdr:from>
      <xdr:col>21</xdr:col>
      <xdr:colOff>359446</xdr:colOff>
      <xdr:row>1</xdr:row>
      <xdr:rowOff>89642</xdr:rowOff>
    </xdr:from>
    <xdr:ext cx="1792291" cy="456138"/>
    <xdr:sp macro="" textlink="Pivot_tables.xlsx!C143">
      <xdr:nvSpPr>
        <xdr:cNvPr id="20" name="TextBox 19">
          <a:extLst>
            <a:ext uri="{FF2B5EF4-FFF2-40B4-BE49-F238E27FC236}">
              <a16:creationId xmlns:a16="http://schemas.microsoft.com/office/drawing/2014/main" id="{C6C1749A-B428-481E-A9DA-17979E757A20}"/>
            </a:ext>
          </a:extLst>
        </xdr:cNvPr>
        <xdr:cNvSpPr txBox="1"/>
      </xdr:nvSpPr>
      <xdr:spPr>
        <a:xfrm>
          <a:off x="13147930" y="277019"/>
          <a:ext cx="1792291" cy="456138"/>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US" sz="2400" b="0" i="0" u="none" strike="noStrike">
              <a:solidFill>
                <a:srgbClr val="4A2C2A">
                  <a:alpha val="90000"/>
                </a:srgbClr>
              </a:solidFill>
              <a:latin typeface="Calibri"/>
              <a:ea typeface="Calibri"/>
              <a:cs typeface="Calibri"/>
            </a:rPr>
            <a:t> </a:t>
          </a:r>
          <a:fld id="{BC2B675A-0D1D-45D3-AEAA-1784A803B539}" type="TxLink">
            <a:rPr lang="en-US" sz="2400" b="0" i="0" u="none" strike="noStrike">
              <a:solidFill>
                <a:srgbClr val="4A2C2A">
                  <a:alpha val="90000"/>
                </a:srgbClr>
              </a:solidFill>
              <a:latin typeface="Calibri"/>
              <a:ea typeface="Calibri"/>
              <a:cs typeface="Calibri"/>
            </a:rPr>
            <a:pPr/>
            <a:t>₹741,923</a:t>
          </a:fld>
          <a:endParaRPr lang="en-US" sz="4800" b="0">
            <a:solidFill>
              <a:srgbClr val="4A2C2A">
                <a:alpha val="90000"/>
              </a:srgbClr>
            </a:solidFill>
          </a:endParaRPr>
        </a:p>
      </xdr:txBody>
    </xdr:sp>
    <xdr:clientData/>
  </xdr:oneCellAnchor>
  <xdr:twoCellAnchor editAs="oneCell">
    <xdr:from>
      <xdr:col>0</xdr:col>
      <xdr:colOff>151610</xdr:colOff>
      <xdr:row>34</xdr:row>
      <xdr:rowOff>41213</xdr:rowOff>
    </xdr:from>
    <xdr:to>
      <xdr:col>3</xdr:col>
      <xdr:colOff>244924</xdr:colOff>
      <xdr:row>46</xdr:row>
      <xdr:rowOff>15362</xdr:rowOff>
    </xdr:to>
    <mc:AlternateContent xmlns:mc="http://schemas.openxmlformats.org/markup-compatibility/2006">
      <mc:Choice xmlns:a14="http://schemas.microsoft.com/office/drawing/2010/main" Requires="a14">
        <xdr:graphicFrame macro="">
          <xdr:nvGraphicFramePr>
            <xdr:cNvPr id="34" name="preferred_brand 1">
              <a:extLst>
                <a:ext uri="{FF2B5EF4-FFF2-40B4-BE49-F238E27FC236}">
                  <a16:creationId xmlns:a16="http://schemas.microsoft.com/office/drawing/2014/main" id="{3F9C5237-E95A-4B62-873F-13F9A6DBD522}"/>
                </a:ext>
              </a:extLst>
            </xdr:cNvPr>
            <xdr:cNvGraphicFramePr/>
          </xdr:nvGraphicFramePr>
          <xdr:xfrm>
            <a:off x="0" y="0"/>
            <a:ext cx="0" cy="0"/>
          </xdr:xfrm>
          <a:graphic>
            <a:graphicData uri="http://schemas.microsoft.com/office/drawing/2010/slicer">
              <sle:slicer xmlns:sle="http://schemas.microsoft.com/office/drawing/2010/slicer" name="preferred_brand 1"/>
            </a:graphicData>
          </a:graphic>
        </xdr:graphicFrame>
      </mc:Choice>
      <mc:Fallback>
        <xdr:sp macro="" textlink="">
          <xdr:nvSpPr>
            <xdr:cNvPr id="0" name=""/>
            <xdr:cNvSpPr>
              <a:spLocks noTextEdit="1"/>
            </xdr:cNvSpPr>
          </xdr:nvSpPr>
          <xdr:spPr>
            <a:xfrm>
              <a:off x="151610" y="6324870"/>
              <a:ext cx="1927232" cy="2191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125935</xdr:colOff>
      <xdr:row>19</xdr:row>
      <xdr:rowOff>13672</xdr:rowOff>
    </xdr:from>
    <xdr:to>
      <xdr:col>3</xdr:col>
      <xdr:colOff>219249</xdr:colOff>
      <xdr:row>22</xdr:row>
      <xdr:rowOff>168435</xdr:rowOff>
    </xdr:to>
    <mc:AlternateContent xmlns:mc="http://schemas.openxmlformats.org/markup-compatibility/2006" xmlns:a14="http://schemas.microsoft.com/office/drawing/2010/main">
      <mc:Choice Requires="a14">
        <xdr:graphicFrame macro="">
          <xdr:nvGraphicFramePr>
            <xdr:cNvPr id="32" name="gender 1">
              <a:extLst>
                <a:ext uri="{FF2B5EF4-FFF2-40B4-BE49-F238E27FC236}">
                  <a16:creationId xmlns:a16="http://schemas.microsoft.com/office/drawing/2014/main" id="{80FF39DB-A3DF-448C-A707-4BD53073A13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5935" y="3748077"/>
              <a:ext cx="1907600" cy="744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166310</xdr:colOff>
      <xdr:row>5</xdr:row>
      <xdr:rowOff>149917</xdr:rowOff>
    </xdr:from>
    <xdr:to>
      <xdr:col>29</xdr:col>
      <xdr:colOff>241906</xdr:colOff>
      <xdr:row>30</xdr:row>
      <xdr:rowOff>185748</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CCD25F2F-98D0-4F8C-98D3-92A403F06E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187110" y="1102417"/>
              <a:ext cx="3733196" cy="47983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27</xdr:col>
      <xdr:colOff>249836</xdr:colOff>
      <xdr:row>27</xdr:row>
      <xdr:rowOff>109305</xdr:rowOff>
    </xdr:from>
    <xdr:to>
      <xdr:col>31</xdr:col>
      <xdr:colOff>327910</xdr:colOff>
      <xdr:row>46</xdr:row>
      <xdr:rowOff>15615</xdr:rowOff>
    </xdr:to>
    <xdr:pic>
      <xdr:nvPicPr>
        <xdr:cNvPr id="74" name="Picture 73">
          <a:extLst>
            <a:ext uri="{FF2B5EF4-FFF2-40B4-BE49-F238E27FC236}">
              <a16:creationId xmlns:a16="http://schemas.microsoft.com/office/drawing/2014/main" id="{1AB83BCB-208F-4C67-937A-197BF254DC4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6692172" y="5168485"/>
          <a:ext cx="2513976" cy="3466474"/>
        </a:xfrm>
        <a:prstGeom prst="rect">
          <a:avLst/>
        </a:prstGeom>
      </xdr:spPr>
    </xdr:pic>
    <xdr:clientData/>
  </xdr:twoCellAnchor>
  <xdr:twoCellAnchor>
    <xdr:from>
      <xdr:col>4</xdr:col>
      <xdr:colOff>30238</xdr:colOff>
      <xdr:row>19</xdr:row>
      <xdr:rowOff>105833</xdr:rowOff>
    </xdr:from>
    <xdr:to>
      <xdr:col>14</xdr:col>
      <xdr:colOff>393095</xdr:colOff>
      <xdr:row>32</xdr:row>
      <xdr:rowOff>75596</xdr:rowOff>
    </xdr:to>
    <xdr:graphicFrame macro="">
      <xdr:nvGraphicFramePr>
        <xdr:cNvPr id="40" name="Chart 39">
          <a:extLst>
            <a:ext uri="{FF2B5EF4-FFF2-40B4-BE49-F238E27FC236}">
              <a16:creationId xmlns:a16="http://schemas.microsoft.com/office/drawing/2014/main" id="{A0587596-E7E7-48FC-9854-85D2AB9BE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17</xdr:col>
      <xdr:colOff>289770</xdr:colOff>
      <xdr:row>1</xdr:row>
      <xdr:rowOff>134291</xdr:rowOff>
    </xdr:from>
    <xdr:ext cx="1918231" cy="396875"/>
    <xdr:sp macro="" textlink="Pivot_tables.xlsx!B143">
      <xdr:nvSpPr>
        <xdr:cNvPr id="5" name="TextBox 4">
          <a:extLst>
            <a:ext uri="{FF2B5EF4-FFF2-40B4-BE49-F238E27FC236}">
              <a16:creationId xmlns:a16="http://schemas.microsoft.com/office/drawing/2014/main" id="{8C0C4AA7-FAB1-4120-9D80-A8C8BA1526A2}"/>
            </a:ext>
          </a:extLst>
        </xdr:cNvPr>
        <xdr:cNvSpPr txBox="1"/>
      </xdr:nvSpPr>
      <xdr:spPr>
        <a:xfrm>
          <a:off x="10663090" y="327768"/>
          <a:ext cx="1918231" cy="396875"/>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US" sz="2400" b="0" i="0" u="none" strike="noStrike">
              <a:solidFill>
                <a:srgbClr val="4A2C2A"/>
              </a:solidFill>
              <a:latin typeface="Calibri"/>
              <a:ea typeface="Calibri"/>
              <a:cs typeface="Calibri"/>
            </a:rPr>
            <a:t>        </a:t>
          </a:r>
          <a:fld id="{93E9D92F-C0B5-46BE-B175-98E859323223}" type="TxLink">
            <a:rPr lang="en-US" sz="2400" b="0" i="0" u="none" strike="noStrike">
              <a:solidFill>
                <a:srgbClr val="4A2C2A"/>
              </a:solidFill>
              <a:latin typeface="Calibri"/>
              <a:ea typeface="Calibri"/>
              <a:cs typeface="Calibri"/>
            </a:rPr>
            <a:pPr/>
            <a:t>1528</a:t>
          </a:fld>
          <a:endParaRPr lang="en-US" sz="2400" b="0" i="0" u="none" strike="noStrike">
            <a:solidFill>
              <a:srgbClr val="4A2C2A"/>
            </a:solidFill>
            <a:latin typeface="Calibri"/>
            <a:ea typeface="Calibri"/>
            <a:cs typeface="Calibri"/>
          </a:endParaRPr>
        </a:p>
        <a:p>
          <a:r>
            <a:rPr lang="en-US" sz="2400" b="0" i="0" u="none" strike="noStrike">
              <a:solidFill>
                <a:srgbClr val="4A2C2A"/>
              </a:solidFill>
              <a:latin typeface="Calibri"/>
              <a:ea typeface="Calibri"/>
              <a:cs typeface="Calibri"/>
            </a:rPr>
            <a:t>  </a:t>
          </a:r>
          <a:endParaRPr lang="en-US" sz="2400">
            <a:solidFill>
              <a:srgbClr val="4A2C2A"/>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3.874796180557" createdVersion="7" refreshedVersion="7" minRefreshableVersion="3" recordCount="1000" xr:uid="{00000000-000A-0000-FFFF-FFFF19000000}">
  <cacheSource type="worksheet">
    <worksheetSource name="Table1"/>
  </cacheSource>
  <cacheFields count="20">
    <cacheField name="record_id" numFmtId="1">
      <sharedItems containsSemiMixedTypes="0" containsString="0" containsNumber="1" containsInteger="1" minValue="1" maxValue="1000"/>
    </cacheField>
    <cacheField name="customer_id" numFmtId="1">
      <sharedItems containsSemiMixedTypes="0" containsString="0" containsNumber="1" containsInteger="1" minValue="10051" maxValue="99996"/>
    </cacheField>
    <cacheField name="age_group" numFmtId="0">
      <sharedItems count="5">
        <s v="35-44"/>
        <s v="18-24"/>
        <s v="25-34"/>
        <s v="45-54"/>
        <s v="55+"/>
      </sharedItems>
    </cacheField>
    <cacheField name="gender" numFmtId="0">
      <sharedItems count="3">
        <s v="Female"/>
        <s v="Male"/>
        <s v="Other" u="1"/>
      </sharedItems>
    </cacheField>
    <cacheField name="city" numFmtId="0">
      <sharedItems/>
    </cacheField>
    <cacheField name="state" numFmtId="0">
      <sharedItems count="11">
        <s v="Karnataka"/>
        <s v="Telangana"/>
        <s v="Delhi"/>
        <s v="Rajasthan"/>
        <s v="Maharashtra"/>
        <s v="West Bengal"/>
        <s v="Tamil Nadu"/>
        <s v="Andhra Pradesh"/>
        <s v="Kerala"/>
        <s v="Gujarat"/>
        <s v="Madhya Pradesh"/>
      </sharedItems>
    </cacheField>
    <cacheField name="occupation" numFmtId="0">
      <sharedItems count="10">
        <s v="Teacher"/>
        <s v="Freelancer"/>
        <s v="Sales Executive"/>
        <s v="IT Professional"/>
        <s v="Bank Employee"/>
        <s v="Business Owner"/>
        <s v="Engineer"/>
        <s v="Government Employee"/>
        <s v="Student"/>
        <s v="Healthcare Worker"/>
      </sharedItems>
    </cacheField>
    <cacheField name="monthly_income_range" numFmtId="0">
      <sharedItems/>
    </cacheField>
    <cacheField name="preferred_coffee_type" numFmtId="0">
      <sharedItems count="8">
        <s v="Filter Coffee"/>
        <s v="Instant Coffee"/>
        <s v="Cold Brew"/>
        <s v="Cappuccino"/>
        <s v="Latte"/>
        <s v="Mocha"/>
        <s v="Americano"/>
        <s v="Espresso"/>
      </sharedItems>
    </cacheField>
    <cacheField name="coffee_form" numFmtId="0">
      <sharedItems/>
    </cacheField>
    <cacheField name="cups_per_day" numFmtId="0">
      <sharedItems containsSemiMixedTypes="0" containsString="0" containsNumber="1" minValue="0.375" maxValue="2.5"/>
    </cacheField>
    <cacheField name="consumption_frequency" numFmtId="0">
      <sharedItems count="3">
        <s v="occasional"/>
        <s v="weekly"/>
        <s v="daily"/>
      </sharedItems>
    </cacheField>
    <cacheField name="cafa visits perweek" numFmtId="0">
      <sharedItems containsSemiMixedTypes="0" containsString="0" containsNumber="1" containsInteger="1" minValue="1" maxValue="7"/>
    </cacheField>
    <cacheField name="primary_consumption_location" numFmtId="0">
      <sharedItems count="3">
        <s v="home"/>
        <s v="office"/>
        <s v="Cafa"/>
      </sharedItems>
    </cacheField>
    <cacheField name="preferred_brand" numFmtId="0">
      <sharedItems count="6">
        <s v="Bru"/>
        <s v="NesCafa"/>
        <s v="Blue Tokai"/>
        <s v="Continental Coffee"/>
        <s v="Sleepy Owl"/>
        <s v="Tata Coffee"/>
      </sharedItems>
    </cacheField>
    <cacheField name="average_spend_per_month_inr" numFmtId="1">
      <sharedItems containsSemiMixedTypes="0" containsString="0" containsNumber="1" containsInteger="1" minValue="151" maxValue="2995"/>
    </cacheField>
    <cacheField name="purchase_channel" numFmtId="0">
      <sharedItems/>
    </cacheField>
    <cacheField name="time_of_day_preference" numFmtId="0">
      <sharedItems count="4">
        <s v="night"/>
        <s v="evening"/>
        <s v="afternoon"/>
        <s v="morning"/>
      </sharedItems>
    </cacheField>
    <cacheField name="health_preference" numFmtId="0">
      <sharedItems count="4">
        <s v="sugar-free"/>
        <s v="vegan"/>
        <s v="low caffeine"/>
        <s v="regular"/>
      </sharedItems>
    </cacheField>
    <cacheField name="city_tier" numFmtId="0">
      <sharedItems count="3">
        <s v="tier3"/>
        <s v="metro"/>
        <s v="tier2"/>
      </sharedItems>
    </cacheField>
  </cacheFields>
  <extLst>
    <ext xmlns:x14="http://schemas.microsoft.com/office/spreadsheetml/2009/9/main" uri="{725AE2AE-9491-48be-B2B4-4EB974FC3084}">
      <x14:pivotCacheDefinition pivotCacheId="1333876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77022"/>
    <x v="0"/>
    <x v="0"/>
    <s v="Mysuru"/>
    <x v="0"/>
    <x v="0"/>
    <s v="30000-60000"/>
    <x v="0"/>
    <s v="filter"/>
    <n v="2.4"/>
    <x v="0"/>
    <n v="1"/>
    <x v="0"/>
    <x v="0"/>
    <n v="785"/>
    <s v="online"/>
    <x v="0"/>
    <x v="0"/>
    <x v="0"/>
  </r>
  <r>
    <n v="2"/>
    <n v="41080"/>
    <x v="1"/>
    <x v="0"/>
    <s v="Hyderabad"/>
    <x v="1"/>
    <x v="1"/>
    <s v="100000+"/>
    <x v="1"/>
    <s v="espresso"/>
    <n v="1"/>
    <x v="0"/>
    <n v="1"/>
    <x v="1"/>
    <x v="1"/>
    <n v="2994"/>
    <s v="local store"/>
    <x v="1"/>
    <x v="0"/>
    <x v="1"/>
  </r>
  <r>
    <n v="3"/>
    <n v="67270"/>
    <x v="1"/>
    <x v="0"/>
    <s v="Delhi"/>
    <x v="2"/>
    <x v="2"/>
    <s v="15000-30000"/>
    <x v="2"/>
    <s v="cold brew"/>
    <n v="1.25"/>
    <x v="1"/>
    <n v="3"/>
    <x v="0"/>
    <x v="1"/>
    <n v="395"/>
    <s v="Cafa"/>
    <x v="1"/>
    <x v="1"/>
    <x v="1"/>
  </r>
  <r>
    <n v="4"/>
    <n v="35267"/>
    <x v="2"/>
    <x v="0"/>
    <s v="Jaipur"/>
    <x v="3"/>
    <x v="3"/>
    <s v="30000-60000"/>
    <x v="3"/>
    <s v="instant"/>
    <n v="2.2000000000000002"/>
    <x v="0"/>
    <n v="1"/>
    <x v="0"/>
    <x v="1"/>
    <n v="574"/>
    <s v="local store"/>
    <x v="0"/>
    <x v="2"/>
    <x v="2"/>
  </r>
  <r>
    <n v="5"/>
    <n v="42618"/>
    <x v="3"/>
    <x v="0"/>
    <s v="Nagpur"/>
    <x v="4"/>
    <x v="4"/>
    <s v="100000+"/>
    <x v="2"/>
    <s v="instant"/>
    <n v="2.5"/>
    <x v="2"/>
    <n v="7"/>
    <x v="0"/>
    <x v="2"/>
    <n v="1736"/>
    <s v="local store"/>
    <x v="0"/>
    <x v="2"/>
    <x v="2"/>
  </r>
  <r>
    <n v="6"/>
    <n v="65220"/>
    <x v="1"/>
    <x v="1"/>
    <s v="Jaipur"/>
    <x v="3"/>
    <x v="3"/>
    <s v="15000-30000"/>
    <x v="4"/>
    <s v="instant"/>
    <n v="0.55000000000000004"/>
    <x v="1"/>
    <n v="3"/>
    <x v="0"/>
    <x v="1"/>
    <n v="568"/>
    <s v="Cafa"/>
    <x v="2"/>
    <x v="3"/>
    <x v="2"/>
  </r>
  <r>
    <n v="7"/>
    <n v="49309"/>
    <x v="1"/>
    <x v="1"/>
    <s v="Mysuru"/>
    <x v="0"/>
    <x v="5"/>
    <s v="&lt;15000"/>
    <x v="1"/>
    <s v="espresso"/>
    <n v="0.5"/>
    <x v="2"/>
    <n v="7"/>
    <x v="2"/>
    <x v="3"/>
    <n v="312"/>
    <s v="online"/>
    <x v="2"/>
    <x v="0"/>
    <x v="0"/>
  </r>
  <r>
    <n v="8"/>
    <n v="66586"/>
    <x v="2"/>
    <x v="0"/>
    <s v="Jaipur"/>
    <x v="3"/>
    <x v="4"/>
    <s v="60000-100000"/>
    <x v="4"/>
    <s v="instant"/>
    <n v="2.2000000000000002"/>
    <x v="2"/>
    <n v="7"/>
    <x v="0"/>
    <x v="0"/>
    <n v="1481"/>
    <s v="supermarket"/>
    <x v="3"/>
    <x v="0"/>
    <x v="2"/>
  </r>
  <r>
    <n v="9"/>
    <n v="16216"/>
    <x v="2"/>
    <x v="0"/>
    <s v="Kolkata"/>
    <x v="5"/>
    <x v="6"/>
    <s v="15000-30000"/>
    <x v="1"/>
    <s v="instant"/>
    <n v="2"/>
    <x v="1"/>
    <n v="3"/>
    <x v="1"/>
    <x v="0"/>
    <n v="470"/>
    <s v="supermarket"/>
    <x v="0"/>
    <x v="0"/>
    <x v="1"/>
  </r>
  <r>
    <n v="10"/>
    <n v="61968"/>
    <x v="1"/>
    <x v="0"/>
    <s v="Chennai"/>
    <x v="6"/>
    <x v="1"/>
    <s v="30000-60000"/>
    <x v="0"/>
    <s v="filter"/>
    <n v="0.6"/>
    <x v="2"/>
    <n v="7"/>
    <x v="0"/>
    <x v="3"/>
    <n v="894"/>
    <s v="online"/>
    <x v="2"/>
    <x v="1"/>
    <x v="1"/>
  </r>
  <r>
    <n v="11"/>
    <n v="10179"/>
    <x v="0"/>
    <x v="0"/>
    <s v="Chennai"/>
    <x v="6"/>
    <x v="7"/>
    <s v="30000-60000"/>
    <x v="3"/>
    <s v="cold brew"/>
    <n v="0.55000000000000004"/>
    <x v="1"/>
    <n v="3"/>
    <x v="1"/>
    <x v="4"/>
    <n v="670"/>
    <s v="Cafa"/>
    <x v="2"/>
    <x v="0"/>
    <x v="1"/>
  </r>
  <r>
    <n v="12"/>
    <n v="72703"/>
    <x v="2"/>
    <x v="0"/>
    <s v="Mysuru"/>
    <x v="0"/>
    <x v="3"/>
    <s v="30000-60000"/>
    <x v="5"/>
    <s v="cold brew"/>
    <n v="2.2000000000000002"/>
    <x v="0"/>
    <n v="1"/>
    <x v="0"/>
    <x v="2"/>
    <n v="490"/>
    <s v="supermarket"/>
    <x v="3"/>
    <x v="3"/>
    <x v="0"/>
  </r>
  <r>
    <n v="13"/>
    <n v="59836"/>
    <x v="1"/>
    <x v="0"/>
    <s v="Vizag"/>
    <x v="7"/>
    <x v="3"/>
    <s v="30000-60000"/>
    <x v="2"/>
    <s v="espresso"/>
    <n v="2.5"/>
    <x v="2"/>
    <n v="7"/>
    <x v="2"/>
    <x v="1"/>
    <n v="786"/>
    <s v="supermarket"/>
    <x v="3"/>
    <x v="3"/>
    <x v="0"/>
  </r>
  <r>
    <n v="14"/>
    <n v="89560"/>
    <x v="1"/>
    <x v="0"/>
    <s v="Jaipur"/>
    <x v="3"/>
    <x v="4"/>
    <s v="100000+"/>
    <x v="1"/>
    <s v="filter"/>
    <n v="2"/>
    <x v="1"/>
    <n v="3"/>
    <x v="0"/>
    <x v="1"/>
    <n v="2159"/>
    <s v="online"/>
    <x v="0"/>
    <x v="2"/>
    <x v="2"/>
  </r>
  <r>
    <n v="15"/>
    <n v="84692"/>
    <x v="2"/>
    <x v="0"/>
    <s v="Hyderabad"/>
    <x v="1"/>
    <x v="5"/>
    <s v="60000-100000"/>
    <x v="1"/>
    <s v="instant"/>
    <n v="2"/>
    <x v="0"/>
    <n v="1"/>
    <x v="1"/>
    <x v="0"/>
    <n v="1288"/>
    <s v="local store"/>
    <x v="3"/>
    <x v="2"/>
    <x v="1"/>
  </r>
  <r>
    <n v="16"/>
    <n v="25649"/>
    <x v="2"/>
    <x v="0"/>
    <s v="Chennai"/>
    <x v="6"/>
    <x v="6"/>
    <s v="30000-60000"/>
    <x v="3"/>
    <s v="ready-to-drink"/>
    <n v="2.2000000000000002"/>
    <x v="1"/>
    <n v="3"/>
    <x v="0"/>
    <x v="1"/>
    <n v="414"/>
    <s v="supermarket"/>
    <x v="3"/>
    <x v="3"/>
    <x v="1"/>
  </r>
  <r>
    <n v="17"/>
    <n v="90292"/>
    <x v="2"/>
    <x v="1"/>
    <s v="Kochi"/>
    <x v="8"/>
    <x v="0"/>
    <s v="100000+"/>
    <x v="0"/>
    <s v="filter"/>
    <n v="0.6"/>
    <x v="1"/>
    <n v="3"/>
    <x v="0"/>
    <x v="0"/>
    <n v="2968"/>
    <s v="Cafa"/>
    <x v="2"/>
    <x v="3"/>
    <x v="2"/>
  </r>
  <r>
    <n v="18"/>
    <n v="77991"/>
    <x v="2"/>
    <x v="1"/>
    <s v="Ahmedabad"/>
    <x v="9"/>
    <x v="1"/>
    <s v="30000-60000"/>
    <x v="2"/>
    <s v="instant"/>
    <n v="2.5"/>
    <x v="1"/>
    <n v="3"/>
    <x v="1"/>
    <x v="0"/>
    <n v="444"/>
    <s v="online"/>
    <x v="3"/>
    <x v="3"/>
    <x v="2"/>
  </r>
  <r>
    <n v="19"/>
    <n v="64681"/>
    <x v="2"/>
    <x v="0"/>
    <s v="Vizag"/>
    <x v="7"/>
    <x v="3"/>
    <s v="15000-30000"/>
    <x v="6"/>
    <s v="instant"/>
    <n v="1.1000000000000001"/>
    <x v="2"/>
    <n v="7"/>
    <x v="0"/>
    <x v="0"/>
    <n v="480"/>
    <s v="local store"/>
    <x v="1"/>
    <x v="2"/>
    <x v="0"/>
  </r>
  <r>
    <n v="20"/>
    <n v="46699"/>
    <x v="1"/>
    <x v="1"/>
    <s v="Kochi"/>
    <x v="8"/>
    <x v="8"/>
    <s v="30000-60000"/>
    <x v="0"/>
    <s v="filter"/>
    <n v="2.4"/>
    <x v="1"/>
    <n v="3"/>
    <x v="0"/>
    <x v="2"/>
    <n v="858"/>
    <s v="supermarket"/>
    <x v="0"/>
    <x v="2"/>
    <x v="2"/>
  </r>
  <r>
    <n v="21"/>
    <n v="56479"/>
    <x v="0"/>
    <x v="1"/>
    <s v="Mumbai"/>
    <x v="4"/>
    <x v="6"/>
    <s v="&lt;15000"/>
    <x v="5"/>
    <s v="ready-to-drink"/>
    <n v="2.2000000000000002"/>
    <x v="2"/>
    <n v="7"/>
    <x v="1"/>
    <x v="4"/>
    <n v="154"/>
    <s v="local store"/>
    <x v="3"/>
    <x v="3"/>
    <x v="1"/>
  </r>
  <r>
    <n v="22"/>
    <n v="39940"/>
    <x v="3"/>
    <x v="0"/>
    <s v="Chennai"/>
    <x v="6"/>
    <x v="2"/>
    <s v="30000-60000"/>
    <x v="7"/>
    <s v="filter"/>
    <n v="0.75"/>
    <x v="2"/>
    <n v="7"/>
    <x v="2"/>
    <x v="1"/>
    <n v="758"/>
    <s v="online"/>
    <x v="1"/>
    <x v="1"/>
    <x v="1"/>
  </r>
  <r>
    <n v="23"/>
    <n v="84833"/>
    <x v="0"/>
    <x v="0"/>
    <s v="Chennai"/>
    <x v="6"/>
    <x v="6"/>
    <s v="15000-30000"/>
    <x v="3"/>
    <s v="instant"/>
    <n v="2.2000000000000002"/>
    <x v="2"/>
    <n v="7"/>
    <x v="1"/>
    <x v="0"/>
    <n v="279"/>
    <s v="Cafa"/>
    <x v="0"/>
    <x v="3"/>
    <x v="1"/>
  </r>
  <r>
    <n v="24"/>
    <n v="68438"/>
    <x v="2"/>
    <x v="0"/>
    <s v="Bengaluru"/>
    <x v="0"/>
    <x v="6"/>
    <s v="15000-30000"/>
    <x v="4"/>
    <s v="instant"/>
    <n v="2.2000000000000002"/>
    <x v="0"/>
    <n v="1"/>
    <x v="0"/>
    <x v="3"/>
    <n v="451"/>
    <s v="online"/>
    <x v="3"/>
    <x v="0"/>
    <x v="1"/>
  </r>
  <r>
    <n v="25"/>
    <n v="24814"/>
    <x v="4"/>
    <x v="0"/>
    <s v="Kochi"/>
    <x v="8"/>
    <x v="5"/>
    <s v="100000+"/>
    <x v="3"/>
    <s v="espresso"/>
    <n v="2.2000000000000002"/>
    <x v="2"/>
    <n v="7"/>
    <x v="1"/>
    <x v="4"/>
    <n v="2421"/>
    <s v="supermarket"/>
    <x v="0"/>
    <x v="2"/>
    <x v="2"/>
  </r>
  <r>
    <n v="26"/>
    <n v="45710"/>
    <x v="2"/>
    <x v="1"/>
    <s v="Vizag"/>
    <x v="7"/>
    <x v="0"/>
    <s v="30000-60000"/>
    <x v="4"/>
    <s v="ready-to-drink"/>
    <n v="2.2000000000000002"/>
    <x v="2"/>
    <n v="7"/>
    <x v="0"/>
    <x v="0"/>
    <n v="809"/>
    <s v="Cafa"/>
    <x v="0"/>
    <x v="1"/>
    <x v="0"/>
  </r>
  <r>
    <n v="27"/>
    <n v="10315"/>
    <x v="1"/>
    <x v="1"/>
    <s v="Pune"/>
    <x v="4"/>
    <x v="9"/>
    <s v="100000+"/>
    <x v="5"/>
    <s v="instant"/>
    <n v="1.1000000000000001"/>
    <x v="0"/>
    <n v="1"/>
    <x v="2"/>
    <x v="0"/>
    <n v="1201"/>
    <s v="Cafa"/>
    <x v="1"/>
    <x v="2"/>
    <x v="2"/>
  </r>
  <r>
    <n v="28"/>
    <n v="91736"/>
    <x v="2"/>
    <x v="1"/>
    <s v="Indore"/>
    <x v="10"/>
    <x v="3"/>
    <s v="15000-30000"/>
    <x v="2"/>
    <s v="instant"/>
    <n v="2.5"/>
    <x v="2"/>
    <n v="7"/>
    <x v="0"/>
    <x v="2"/>
    <n v="494"/>
    <s v="online"/>
    <x v="0"/>
    <x v="1"/>
    <x v="0"/>
  </r>
  <r>
    <n v="29"/>
    <n v="97002"/>
    <x v="3"/>
    <x v="1"/>
    <s v="Delhi"/>
    <x v="2"/>
    <x v="1"/>
    <s v="30000-60000"/>
    <x v="3"/>
    <s v="espresso"/>
    <n v="2.2000000000000002"/>
    <x v="1"/>
    <n v="3"/>
    <x v="1"/>
    <x v="4"/>
    <n v="403"/>
    <s v="online"/>
    <x v="0"/>
    <x v="1"/>
    <x v="1"/>
  </r>
  <r>
    <n v="30"/>
    <n v="41731"/>
    <x v="1"/>
    <x v="1"/>
    <s v="Delhi"/>
    <x v="2"/>
    <x v="3"/>
    <s v="15000-30000"/>
    <x v="0"/>
    <s v="cold brew"/>
    <n v="1.2"/>
    <x v="2"/>
    <n v="7"/>
    <x v="0"/>
    <x v="1"/>
    <n v="428"/>
    <s v="Cafa"/>
    <x v="1"/>
    <x v="0"/>
    <x v="1"/>
  </r>
  <r>
    <n v="31"/>
    <n v="24496"/>
    <x v="2"/>
    <x v="0"/>
    <s v="Chennai"/>
    <x v="6"/>
    <x v="6"/>
    <s v="100000+"/>
    <x v="4"/>
    <s v="instant"/>
    <n v="2.2000000000000002"/>
    <x v="2"/>
    <n v="7"/>
    <x v="0"/>
    <x v="1"/>
    <n v="1352"/>
    <s v="supermarket"/>
    <x v="0"/>
    <x v="3"/>
    <x v="1"/>
  </r>
  <r>
    <n v="32"/>
    <n v="67854"/>
    <x v="1"/>
    <x v="0"/>
    <s v="Hyderabad"/>
    <x v="1"/>
    <x v="9"/>
    <s v="100000+"/>
    <x v="2"/>
    <s v="cold brew"/>
    <n v="0.625"/>
    <x v="2"/>
    <n v="7"/>
    <x v="0"/>
    <x v="1"/>
    <n v="2526"/>
    <s v="online"/>
    <x v="2"/>
    <x v="2"/>
    <x v="1"/>
  </r>
  <r>
    <n v="33"/>
    <n v="56600"/>
    <x v="1"/>
    <x v="1"/>
    <s v="Delhi"/>
    <x v="2"/>
    <x v="7"/>
    <s v="15000-30000"/>
    <x v="3"/>
    <s v="filter"/>
    <n v="2.2000000000000002"/>
    <x v="2"/>
    <n v="7"/>
    <x v="0"/>
    <x v="4"/>
    <n v="463"/>
    <s v="local store"/>
    <x v="0"/>
    <x v="3"/>
    <x v="1"/>
  </r>
  <r>
    <n v="34"/>
    <n v="35126"/>
    <x v="2"/>
    <x v="1"/>
    <s v="Jaipur"/>
    <x v="3"/>
    <x v="8"/>
    <s v="30000-60000"/>
    <x v="6"/>
    <s v="instant"/>
    <n v="2.2000000000000002"/>
    <x v="2"/>
    <n v="7"/>
    <x v="0"/>
    <x v="1"/>
    <n v="426"/>
    <s v="Cafa"/>
    <x v="0"/>
    <x v="0"/>
    <x v="2"/>
  </r>
  <r>
    <n v="35"/>
    <n v="50215"/>
    <x v="0"/>
    <x v="0"/>
    <s v="Vizag"/>
    <x v="7"/>
    <x v="7"/>
    <s v="&lt;15000"/>
    <x v="4"/>
    <s v="instant"/>
    <n v="2.2000000000000002"/>
    <x v="1"/>
    <n v="3"/>
    <x v="1"/>
    <x v="0"/>
    <n v="193"/>
    <s v="Cafa"/>
    <x v="3"/>
    <x v="2"/>
    <x v="0"/>
  </r>
  <r>
    <n v="36"/>
    <n v="60817"/>
    <x v="2"/>
    <x v="1"/>
    <s v="Mysuru"/>
    <x v="0"/>
    <x v="8"/>
    <s v="60000-100000"/>
    <x v="6"/>
    <s v="instant"/>
    <n v="2.2000000000000002"/>
    <x v="2"/>
    <n v="7"/>
    <x v="1"/>
    <x v="1"/>
    <n v="1013"/>
    <s v="Cafa"/>
    <x v="0"/>
    <x v="0"/>
    <x v="0"/>
  </r>
  <r>
    <n v="37"/>
    <n v="91958"/>
    <x v="3"/>
    <x v="0"/>
    <s v="Ahmedabad"/>
    <x v="9"/>
    <x v="9"/>
    <s v="15000-30000"/>
    <x v="1"/>
    <s v="instant"/>
    <n v="0.5"/>
    <x v="2"/>
    <n v="7"/>
    <x v="2"/>
    <x v="1"/>
    <n v="250"/>
    <s v="supermarket"/>
    <x v="2"/>
    <x v="3"/>
    <x v="2"/>
  </r>
  <r>
    <n v="38"/>
    <n v="43477"/>
    <x v="2"/>
    <x v="0"/>
    <s v="Chennai"/>
    <x v="6"/>
    <x v="5"/>
    <s v="30000-60000"/>
    <x v="0"/>
    <s v="filter"/>
    <n v="0.6"/>
    <x v="2"/>
    <n v="7"/>
    <x v="0"/>
    <x v="0"/>
    <n v="816"/>
    <s v="online"/>
    <x v="2"/>
    <x v="0"/>
    <x v="1"/>
  </r>
  <r>
    <n v="39"/>
    <n v="96746"/>
    <x v="1"/>
    <x v="0"/>
    <s v="Mumbai"/>
    <x v="4"/>
    <x v="4"/>
    <s v="15000-30000"/>
    <x v="6"/>
    <s v="ready-to-drink"/>
    <n v="1.1000000000000001"/>
    <x v="0"/>
    <n v="1"/>
    <x v="0"/>
    <x v="0"/>
    <n v="446"/>
    <s v="online"/>
    <x v="1"/>
    <x v="3"/>
    <x v="1"/>
  </r>
  <r>
    <n v="40"/>
    <n v="60088"/>
    <x v="2"/>
    <x v="0"/>
    <s v="Ahmedabad"/>
    <x v="9"/>
    <x v="9"/>
    <s v="15000-30000"/>
    <x v="1"/>
    <s v="instant"/>
    <n v="1"/>
    <x v="1"/>
    <n v="3"/>
    <x v="1"/>
    <x v="3"/>
    <n v="533"/>
    <s v="local store"/>
    <x v="1"/>
    <x v="2"/>
    <x v="2"/>
  </r>
  <r>
    <n v="41"/>
    <n v="57188"/>
    <x v="2"/>
    <x v="1"/>
    <s v="Bengaluru"/>
    <x v="0"/>
    <x v="7"/>
    <s v="30000-60000"/>
    <x v="7"/>
    <s v="filter"/>
    <n v="1.5"/>
    <x v="2"/>
    <n v="7"/>
    <x v="0"/>
    <x v="1"/>
    <n v="450"/>
    <s v="supermarket"/>
    <x v="0"/>
    <x v="2"/>
    <x v="1"/>
  </r>
  <r>
    <n v="42"/>
    <n v="39889"/>
    <x v="1"/>
    <x v="1"/>
    <s v="Jaipur"/>
    <x v="3"/>
    <x v="4"/>
    <s v="15000-30000"/>
    <x v="3"/>
    <s v="espresso"/>
    <n v="2.2000000000000002"/>
    <x v="1"/>
    <n v="3"/>
    <x v="0"/>
    <x v="2"/>
    <n v="422"/>
    <s v="online"/>
    <x v="0"/>
    <x v="2"/>
    <x v="2"/>
  </r>
  <r>
    <n v="43"/>
    <n v="79596"/>
    <x v="0"/>
    <x v="0"/>
    <s v="Nagpur"/>
    <x v="4"/>
    <x v="2"/>
    <s v="30000-60000"/>
    <x v="1"/>
    <s v="instant"/>
    <n v="2"/>
    <x v="0"/>
    <n v="1"/>
    <x v="1"/>
    <x v="1"/>
    <n v="787"/>
    <s v="Cafa"/>
    <x v="0"/>
    <x v="1"/>
    <x v="2"/>
  </r>
  <r>
    <n v="44"/>
    <n v="52487"/>
    <x v="4"/>
    <x v="0"/>
    <s v="Ahmedabad"/>
    <x v="9"/>
    <x v="3"/>
    <s v="15000-30000"/>
    <x v="6"/>
    <s v="ready-to-drink"/>
    <n v="1.1000000000000001"/>
    <x v="2"/>
    <n v="7"/>
    <x v="1"/>
    <x v="1"/>
    <n v="537"/>
    <s v="local store"/>
    <x v="1"/>
    <x v="0"/>
    <x v="2"/>
  </r>
  <r>
    <n v="45"/>
    <n v="88782"/>
    <x v="2"/>
    <x v="1"/>
    <s v="Delhi"/>
    <x v="2"/>
    <x v="0"/>
    <s v="&lt;15000"/>
    <x v="7"/>
    <s v="instant"/>
    <n v="0.75"/>
    <x v="1"/>
    <n v="3"/>
    <x v="2"/>
    <x v="1"/>
    <n v="334"/>
    <s v="online"/>
    <x v="1"/>
    <x v="2"/>
    <x v="1"/>
  </r>
  <r>
    <n v="46"/>
    <n v="41422"/>
    <x v="3"/>
    <x v="1"/>
    <s v="Jaipur"/>
    <x v="3"/>
    <x v="9"/>
    <s v="30000-60000"/>
    <x v="5"/>
    <s v="instant"/>
    <n v="2.2000000000000002"/>
    <x v="1"/>
    <n v="3"/>
    <x v="2"/>
    <x v="3"/>
    <n v="536"/>
    <s v="Cafa"/>
    <x v="0"/>
    <x v="2"/>
    <x v="2"/>
  </r>
  <r>
    <n v="47"/>
    <n v="86253"/>
    <x v="1"/>
    <x v="1"/>
    <s v="Mysuru"/>
    <x v="0"/>
    <x v="8"/>
    <s v="30000-60000"/>
    <x v="6"/>
    <s v="cold brew"/>
    <n v="2.2000000000000002"/>
    <x v="2"/>
    <n v="7"/>
    <x v="1"/>
    <x v="1"/>
    <n v="504"/>
    <s v="supermarket"/>
    <x v="3"/>
    <x v="0"/>
    <x v="0"/>
  </r>
  <r>
    <n v="48"/>
    <n v="12840"/>
    <x v="1"/>
    <x v="1"/>
    <s v="Chennai"/>
    <x v="6"/>
    <x v="7"/>
    <s v="15000-30000"/>
    <x v="0"/>
    <s v="filter"/>
    <n v="1.2"/>
    <x v="2"/>
    <n v="7"/>
    <x v="1"/>
    <x v="1"/>
    <n v="589"/>
    <s v="Cafa"/>
    <x v="1"/>
    <x v="3"/>
    <x v="1"/>
  </r>
  <r>
    <n v="49"/>
    <n v="59770"/>
    <x v="2"/>
    <x v="1"/>
    <s v="Coimbatore"/>
    <x v="6"/>
    <x v="7"/>
    <s v="&lt;15000"/>
    <x v="0"/>
    <s v="filter"/>
    <n v="2.4"/>
    <x v="2"/>
    <n v="7"/>
    <x v="0"/>
    <x v="1"/>
    <n v="197"/>
    <s v="local store"/>
    <x v="3"/>
    <x v="3"/>
    <x v="0"/>
  </r>
  <r>
    <n v="50"/>
    <n v="37214"/>
    <x v="0"/>
    <x v="0"/>
    <s v="Bengaluru"/>
    <x v="0"/>
    <x v="5"/>
    <s v="15000-30000"/>
    <x v="0"/>
    <s v="filter"/>
    <n v="2.4"/>
    <x v="1"/>
    <n v="3"/>
    <x v="1"/>
    <x v="0"/>
    <n v="457"/>
    <s v="supermarket"/>
    <x v="0"/>
    <x v="0"/>
    <x v="1"/>
  </r>
  <r>
    <n v="51"/>
    <n v="73533"/>
    <x v="2"/>
    <x v="1"/>
    <s v="Delhi"/>
    <x v="2"/>
    <x v="5"/>
    <s v="60000-100000"/>
    <x v="4"/>
    <s v="filter"/>
    <n v="2.2000000000000002"/>
    <x v="0"/>
    <n v="1"/>
    <x v="0"/>
    <x v="3"/>
    <n v="1478"/>
    <s v="supermarket"/>
    <x v="0"/>
    <x v="2"/>
    <x v="1"/>
  </r>
  <r>
    <n v="52"/>
    <n v="68334"/>
    <x v="0"/>
    <x v="1"/>
    <s v="Delhi"/>
    <x v="2"/>
    <x v="2"/>
    <s v="30000-60000"/>
    <x v="7"/>
    <s v="filter"/>
    <n v="1.5"/>
    <x v="2"/>
    <n v="7"/>
    <x v="0"/>
    <x v="0"/>
    <n v="781"/>
    <s v="local store"/>
    <x v="0"/>
    <x v="2"/>
    <x v="1"/>
  </r>
  <r>
    <n v="53"/>
    <n v="32155"/>
    <x v="2"/>
    <x v="0"/>
    <s v="Indore"/>
    <x v="10"/>
    <x v="2"/>
    <s v="15000-30000"/>
    <x v="5"/>
    <s v="instant"/>
    <n v="1.1000000000000001"/>
    <x v="2"/>
    <n v="7"/>
    <x v="0"/>
    <x v="5"/>
    <n v="521"/>
    <s v="supermarket"/>
    <x v="1"/>
    <x v="1"/>
    <x v="0"/>
  </r>
  <r>
    <n v="54"/>
    <n v="28897"/>
    <x v="2"/>
    <x v="1"/>
    <s v="Indore"/>
    <x v="10"/>
    <x v="4"/>
    <s v="60000-100000"/>
    <x v="0"/>
    <s v="instant"/>
    <n v="2.4"/>
    <x v="2"/>
    <n v="7"/>
    <x v="0"/>
    <x v="3"/>
    <n v="1257"/>
    <s v="local store"/>
    <x v="3"/>
    <x v="3"/>
    <x v="0"/>
  </r>
  <r>
    <n v="55"/>
    <n v="75365"/>
    <x v="1"/>
    <x v="1"/>
    <s v="Coimbatore"/>
    <x v="6"/>
    <x v="1"/>
    <s v="30000-60000"/>
    <x v="2"/>
    <s v="cold brew"/>
    <n v="0.625"/>
    <x v="2"/>
    <n v="7"/>
    <x v="0"/>
    <x v="1"/>
    <n v="415"/>
    <s v="online"/>
    <x v="2"/>
    <x v="0"/>
    <x v="0"/>
  </r>
  <r>
    <n v="56"/>
    <n v="54775"/>
    <x v="0"/>
    <x v="1"/>
    <s v="Vizag"/>
    <x v="7"/>
    <x v="8"/>
    <s v="15000-30000"/>
    <x v="1"/>
    <s v="ready-to-drink"/>
    <n v="2"/>
    <x v="2"/>
    <n v="7"/>
    <x v="0"/>
    <x v="4"/>
    <n v="338"/>
    <s v="online"/>
    <x v="0"/>
    <x v="2"/>
    <x v="0"/>
  </r>
  <r>
    <n v="57"/>
    <n v="27661"/>
    <x v="0"/>
    <x v="1"/>
    <s v="Mysuru"/>
    <x v="0"/>
    <x v="3"/>
    <s v="&lt;15000"/>
    <x v="0"/>
    <s v="filter"/>
    <n v="0.6"/>
    <x v="2"/>
    <n v="7"/>
    <x v="0"/>
    <x v="3"/>
    <n v="259"/>
    <s v="supermarket"/>
    <x v="2"/>
    <x v="2"/>
    <x v="0"/>
  </r>
  <r>
    <n v="58"/>
    <n v="84003"/>
    <x v="3"/>
    <x v="1"/>
    <s v="Mysuru"/>
    <x v="0"/>
    <x v="5"/>
    <s v="60000-100000"/>
    <x v="0"/>
    <s v="filter"/>
    <n v="0.6"/>
    <x v="0"/>
    <n v="1"/>
    <x v="1"/>
    <x v="4"/>
    <n v="1297"/>
    <s v="local store"/>
    <x v="2"/>
    <x v="2"/>
    <x v="0"/>
  </r>
  <r>
    <n v="59"/>
    <n v="17222"/>
    <x v="2"/>
    <x v="1"/>
    <s v="Indore"/>
    <x v="10"/>
    <x v="8"/>
    <s v="30000-60000"/>
    <x v="7"/>
    <s v="instant"/>
    <n v="1.5"/>
    <x v="1"/>
    <n v="3"/>
    <x v="0"/>
    <x v="1"/>
    <n v="744"/>
    <s v="supermarket"/>
    <x v="3"/>
    <x v="3"/>
    <x v="0"/>
  </r>
  <r>
    <n v="60"/>
    <n v="65569"/>
    <x v="0"/>
    <x v="0"/>
    <s v="Pune"/>
    <x v="4"/>
    <x v="9"/>
    <s v="15000-30000"/>
    <x v="5"/>
    <s v="instant"/>
    <n v="2.2000000000000002"/>
    <x v="2"/>
    <n v="7"/>
    <x v="0"/>
    <x v="4"/>
    <n v="459"/>
    <s v="Cafa"/>
    <x v="0"/>
    <x v="3"/>
    <x v="2"/>
  </r>
  <r>
    <n v="61"/>
    <n v="63561"/>
    <x v="1"/>
    <x v="1"/>
    <s v="Chennai"/>
    <x v="6"/>
    <x v="3"/>
    <s v="&lt;15000"/>
    <x v="2"/>
    <s v="filter"/>
    <n v="2.5"/>
    <x v="1"/>
    <n v="3"/>
    <x v="0"/>
    <x v="1"/>
    <n v="204"/>
    <s v="supermarket"/>
    <x v="0"/>
    <x v="2"/>
    <x v="1"/>
  </r>
  <r>
    <n v="62"/>
    <n v="79104"/>
    <x v="0"/>
    <x v="1"/>
    <s v="Indore"/>
    <x v="10"/>
    <x v="5"/>
    <s v="15000-30000"/>
    <x v="3"/>
    <s v="instant"/>
    <n v="2.2000000000000002"/>
    <x v="2"/>
    <n v="7"/>
    <x v="0"/>
    <x v="5"/>
    <n v="581"/>
    <s v="local store"/>
    <x v="3"/>
    <x v="3"/>
    <x v="0"/>
  </r>
  <r>
    <n v="63"/>
    <n v="78167"/>
    <x v="1"/>
    <x v="1"/>
    <s v="Indore"/>
    <x v="10"/>
    <x v="0"/>
    <s v="15000-30000"/>
    <x v="7"/>
    <s v="instant"/>
    <n v="0.375"/>
    <x v="2"/>
    <n v="7"/>
    <x v="0"/>
    <x v="1"/>
    <n v="444"/>
    <s v="Cafa"/>
    <x v="2"/>
    <x v="2"/>
    <x v="0"/>
  </r>
  <r>
    <n v="64"/>
    <n v="20528"/>
    <x v="2"/>
    <x v="1"/>
    <s v="Bengaluru"/>
    <x v="0"/>
    <x v="1"/>
    <s v="&lt;15000"/>
    <x v="5"/>
    <s v="instant"/>
    <n v="1.1000000000000001"/>
    <x v="0"/>
    <n v="1"/>
    <x v="1"/>
    <x v="5"/>
    <n v="176"/>
    <s v="local store"/>
    <x v="1"/>
    <x v="3"/>
    <x v="1"/>
  </r>
  <r>
    <n v="65"/>
    <n v="63750"/>
    <x v="1"/>
    <x v="0"/>
    <s v="Kolkata"/>
    <x v="5"/>
    <x v="5"/>
    <s v="30000-60000"/>
    <x v="0"/>
    <s v="instant"/>
    <n v="2.4"/>
    <x v="2"/>
    <n v="7"/>
    <x v="0"/>
    <x v="4"/>
    <n v="768"/>
    <s v="supermarket"/>
    <x v="3"/>
    <x v="1"/>
    <x v="1"/>
  </r>
  <r>
    <n v="66"/>
    <n v="33750"/>
    <x v="1"/>
    <x v="1"/>
    <s v="Coimbatore"/>
    <x v="6"/>
    <x v="4"/>
    <s v="30000-60000"/>
    <x v="2"/>
    <s v="cold brew"/>
    <n v="2.5"/>
    <x v="2"/>
    <n v="7"/>
    <x v="1"/>
    <x v="0"/>
    <n v="713"/>
    <s v="Cafa"/>
    <x v="0"/>
    <x v="3"/>
    <x v="0"/>
  </r>
  <r>
    <n v="67"/>
    <n v="25024"/>
    <x v="0"/>
    <x v="1"/>
    <s v="Nagpur"/>
    <x v="4"/>
    <x v="9"/>
    <s v="&lt;15000"/>
    <x v="1"/>
    <s v="filter"/>
    <n v="2"/>
    <x v="1"/>
    <n v="3"/>
    <x v="1"/>
    <x v="3"/>
    <n v="154"/>
    <s v="supermarket"/>
    <x v="0"/>
    <x v="2"/>
    <x v="2"/>
  </r>
  <r>
    <n v="68"/>
    <n v="58491"/>
    <x v="2"/>
    <x v="1"/>
    <s v="Delhi"/>
    <x v="2"/>
    <x v="5"/>
    <s v="15000-30000"/>
    <x v="2"/>
    <s v="instant"/>
    <n v="1.25"/>
    <x v="2"/>
    <n v="7"/>
    <x v="0"/>
    <x v="5"/>
    <n v="286"/>
    <s v="supermarket"/>
    <x v="1"/>
    <x v="2"/>
    <x v="1"/>
  </r>
  <r>
    <n v="69"/>
    <n v="40401"/>
    <x v="2"/>
    <x v="1"/>
    <s v="Ahmedabad"/>
    <x v="9"/>
    <x v="5"/>
    <s v="30000-60000"/>
    <x v="6"/>
    <s v="ready-to-drink"/>
    <n v="1.1000000000000001"/>
    <x v="0"/>
    <n v="1"/>
    <x v="1"/>
    <x v="4"/>
    <n v="669"/>
    <s v="supermarket"/>
    <x v="1"/>
    <x v="2"/>
    <x v="2"/>
  </r>
  <r>
    <n v="70"/>
    <n v="51795"/>
    <x v="0"/>
    <x v="0"/>
    <s v="Vizag"/>
    <x v="7"/>
    <x v="3"/>
    <s v="&lt;15000"/>
    <x v="5"/>
    <s v="instant"/>
    <n v="2.2000000000000002"/>
    <x v="2"/>
    <n v="7"/>
    <x v="0"/>
    <x v="0"/>
    <n v="201"/>
    <s v="Cafa"/>
    <x v="0"/>
    <x v="1"/>
    <x v="0"/>
  </r>
  <r>
    <n v="71"/>
    <n v="61502"/>
    <x v="1"/>
    <x v="1"/>
    <s v="Pune"/>
    <x v="4"/>
    <x v="5"/>
    <s v="15000-30000"/>
    <x v="5"/>
    <s v="instant"/>
    <n v="2.2000000000000002"/>
    <x v="2"/>
    <n v="7"/>
    <x v="2"/>
    <x v="1"/>
    <n v="345"/>
    <s v="local store"/>
    <x v="0"/>
    <x v="0"/>
    <x v="2"/>
  </r>
  <r>
    <n v="72"/>
    <n v="19268"/>
    <x v="2"/>
    <x v="1"/>
    <s v="Hyderabad"/>
    <x v="1"/>
    <x v="5"/>
    <s v="15000-30000"/>
    <x v="5"/>
    <s v="espresso"/>
    <n v="2.2000000000000002"/>
    <x v="2"/>
    <n v="7"/>
    <x v="1"/>
    <x v="1"/>
    <n v="532"/>
    <s v="Cafa"/>
    <x v="0"/>
    <x v="2"/>
    <x v="1"/>
  </r>
  <r>
    <n v="73"/>
    <n v="62295"/>
    <x v="3"/>
    <x v="1"/>
    <s v="Coimbatore"/>
    <x v="6"/>
    <x v="6"/>
    <s v="15000-30000"/>
    <x v="0"/>
    <s v="filter"/>
    <n v="2.4"/>
    <x v="1"/>
    <n v="3"/>
    <x v="0"/>
    <x v="0"/>
    <n v="460"/>
    <s v="Cafa"/>
    <x v="3"/>
    <x v="2"/>
    <x v="0"/>
  </r>
  <r>
    <n v="74"/>
    <n v="90085"/>
    <x v="2"/>
    <x v="0"/>
    <s v="Delhi"/>
    <x v="2"/>
    <x v="9"/>
    <s v="15000-30000"/>
    <x v="3"/>
    <s v="instant"/>
    <n v="2.2000000000000002"/>
    <x v="0"/>
    <n v="1"/>
    <x v="0"/>
    <x v="4"/>
    <n v="470"/>
    <s v="Cafa"/>
    <x v="3"/>
    <x v="3"/>
    <x v="1"/>
  </r>
  <r>
    <n v="75"/>
    <n v="82713"/>
    <x v="0"/>
    <x v="0"/>
    <s v="Kochi"/>
    <x v="8"/>
    <x v="1"/>
    <s v="&lt;15000"/>
    <x v="5"/>
    <s v="instant"/>
    <n v="2.2000000000000002"/>
    <x v="2"/>
    <n v="7"/>
    <x v="1"/>
    <x v="4"/>
    <n v="210"/>
    <s v="Cafa"/>
    <x v="0"/>
    <x v="2"/>
    <x v="2"/>
  </r>
  <r>
    <n v="76"/>
    <n v="29176"/>
    <x v="0"/>
    <x v="1"/>
    <s v="Coimbatore"/>
    <x v="6"/>
    <x v="8"/>
    <s v="&lt;15000"/>
    <x v="0"/>
    <s v="filter"/>
    <n v="2.4"/>
    <x v="2"/>
    <n v="7"/>
    <x v="1"/>
    <x v="2"/>
    <n v="227"/>
    <s v="Cafa"/>
    <x v="3"/>
    <x v="2"/>
    <x v="0"/>
  </r>
  <r>
    <n v="77"/>
    <n v="18076"/>
    <x v="4"/>
    <x v="0"/>
    <s v="Nagpur"/>
    <x v="4"/>
    <x v="4"/>
    <s v="15000-30000"/>
    <x v="4"/>
    <s v="filter"/>
    <n v="1.1000000000000001"/>
    <x v="2"/>
    <n v="7"/>
    <x v="2"/>
    <x v="1"/>
    <n v="450"/>
    <s v="online"/>
    <x v="1"/>
    <x v="0"/>
    <x v="2"/>
  </r>
  <r>
    <n v="78"/>
    <n v="80978"/>
    <x v="0"/>
    <x v="0"/>
    <s v="Coimbatore"/>
    <x v="6"/>
    <x v="9"/>
    <s v="30000-60000"/>
    <x v="0"/>
    <s v="filter"/>
    <n v="2.4"/>
    <x v="1"/>
    <n v="3"/>
    <x v="2"/>
    <x v="1"/>
    <n v="752"/>
    <s v="local store"/>
    <x v="0"/>
    <x v="0"/>
    <x v="0"/>
  </r>
  <r>
    <n v="79"/>
    <n v="29288"/>
    <x v="0"/>
    <x v="0"/>
    <s v="Delhi"/>
    <x v="2"/>
    <x v="2"/>
    <s v="100000+"/>
    <x v="2"/>
    <s v="instant"/>
    <n v="2.5"/>
    <x v="1"/>
    <n v="3"/>
    <x v="0"/>
    <x v="2"/>
    <n v="2453"/>
    <s v="Cafa"/>
    <x v="3"/>
    <x v="3"/>
    <x v="1"/>
  </r>
  <r>
    <n v="80"/>
    <n v="59021"/>
    <x v="2"/>
    <x v="1"/>
    <s v="Jaipur"/>
    <x v="3"/>
    <x v="7"/>
    <s v="30000-60000"/>
    <x v="5"/>
    <s v="filter"/>
    <n v="2.2000000000000002"/>
    <x v="2"/>
    <n v="7"/>
    <x v="0"/>
    <x v="1"/>
    <n v="827"/>
    <s v="online"/>
    <x v="3"/>
    <x v="3"/>
    <x v="2"/>
  </r>
  <r>
    <n v="81"/>
    <n v="44362"/>
    <x v="1"/>
    <x v="0"/>
    <s v="Ahmedabad"/>
    <x v="9"/>
    <x v="1"/>
    <s v="100000+"/>
    <x v="1"/>
    <s v="ready-to-drink"/>
    <n v="1"/>
    <x v="2"/>
    <n v="7"/>
    <x v="0"/>
    <x v="0"/>
    <n v="2119"/>
    <s v="Cafa"/>
    <x v="1"/>
    <x v="0"/>
    <x v="2"/>
  </r>
  <r>
    <n v="82"/>
    <n v="11398"/>
    <x v="4"/>
    <x v="1"/>
    <s v="Vizag"/>
    <x v="7"/>
    <x v="9"/>
    <s v="15000-30000"/>
    <x v="6"/>
    <s v="cold brew"/>
    <n v="2.2000000000000002"/>
    <x v="2"/>
    <n v="7"/>
    <x v="0"/>
    <x v="4"/>
    <n v="503"/>
    <s v="supermarket"/>
    <x v="3"/>
    <x v="0"/>
    <x v="0"/>
  </r>
  <r>
    <n v="83"/>
    <n v="55029"/>
    <x v="0"/>
    <x v="1"/>
    <s v="Ahmedabad"/>
    <x v="9"/>
    <x v="5"/>
    <s v="30000-60000"/>
    <x v="4"/>
    <s v="instant"/>
    <n v="2.2000000000000002"/>
    <x v="0"/>
    <n v="1"/>
    <x v="0"/>
    <x v="5"/>
    <n v="756"/>
    <s v="local store"/>
    <x v="3"/>
    <x v="2"/>
    <x v="2"/>
  </r>
  <r>
    <n v="84"/>
    <n v="34620"/>
    <x v="3"/>
    <x v="1"/>
    <s v="Bengaluru"/>
    <x v="0"/>
    <x v="0"/>
    <s v="30000-60000"/>
    <x v="0"/>
    <s v="filter"/>
    <n v="1.2"/>
    <x v="0"/>
    <n v="1"/>
    <x v="2"/>
    <x v="0"/>
    <n v="592"/>
    <s v="Cafa"/>
    <x v="1"/>
    <x v="2"/>
    <x v="1"/>
  </r>
  <r>
    <n v="85"/>
    <n v="59802"/>
    <x v="0"/>
    <x v="0"/>
    <s v="Chennai"/>
    <x v="6"/>
    <x v="6"/>
    <s v="15000-30000"/>
    <x v="1"/>
    <s v="ready-to-drink"/>
    <n v="2"/>
    <x v="0"/>
    <n v="1"/>
    <x v="2"/>
    <x v="1"/>
    <n v="421"/>
    <s v="local store"/>
    <x v="3"/>
    <x v="0"/>
    <x v="1"/>
  </r>
  <r>
    <n v="86"/>
    <n v="21153"/>
    <x v="0"/>
    <x v="0"/>
    <s v="Pune"/>
    <x v="4"/>
    <x v="0"/>
    <s v="100000+"/>
    <x v="0"/>
    <s v="instant"/>
    <n v="1.2"/>
    <x v="2"/>
    <n v="7"/>
    <x v="0"/>
    <x v="0"/>
    <n v="2797"/>
    <s v="supermarket"/>
    <x v="1"/>
    <x v="3"/>
    <x v="2"/>
  </r>
  <r>
    <n v="87"/>
    <n v="29623"/>
    <x v="1"/>
    <x v="1"/>
    <s v="Mumbai"/>
    <x v="4"/>
    <x v="0"/>
    <s v="15000-30000"/>
    <x v="5"/>
    <s v="instant"/>
    <n v="1.1000000000000001"/>
    <x v="2"/>
    <n v="7"/>
    <x v="2"/>
    <x v="0"/>
    <n v="489"/>
    <s v="supermarket"/>
    <x v="1"/>
    <x v="0"/>
    <x v="1"/>
  </r>
  <r>
    <n v="88"/>
    <n v="72390"/>
    <x v="1"/>
    <x v="1"/>
    <s v="Nagpur"/>
    <x v="4"/>
    <x v="4"/>
    <s v="&lt;15000"/>
    <x v="2"/>
    <s v="cold brew"/>
    <n v="2.5"/>
    <x v="2"/>
    <n v="7"/>
    <x v="1"/>
    <x v="1"/>
    <n v="201"/>
    <s v="Cafa"/>
    <x v="3"/>
    <x v="0"/>
    <x v="2"/>
  </r>
  <r>
    <n v="89"/>
    <n v="57041"/>
    <x v="0"/>
    <x v="1"/>
    <s v="Pune"/>
    <x v="4"/>
    <x v="1"/>
    <s v="100000+"/>
    <x v="5"/>
    <s v="filter"/>
    <n v="1.1000000000000001"/>
    <x v="1"/>
    <n v="3"/>
    <x v="0"/>
    <x v="2"/>
    <n v="2610"/>
    <s v="supermarket"/>
    <x v="1"/>
    <x v="3"/>
    <x v="2"/>
  </r>
  <r>
    <n v="90"/>
    <n v="95019"/>
    <x v="2"/>
    <x v="0"/>
    <s v="Ahmedabad"/>
    <x v="9"/>
    <x v="3"/>
    <s v="60000-100000"/>
    <x v="7"/>
    <s v="ready-to-drink"/>
    <n v="1.5"/>
    <x v="0"/>
    <n v="1"/>
    <x v="1"/>
    <x v="5"/>
    <n v="1252"/>
    <s v="online"/>
    <x v="3"/>
    <x v="3"/>
    <x v="2"/>
  </r>
  <r>
    <n v="91"/>
    <n v="83521"/>
    <x v="2"/>
    <x v="1"/>
    <s v="Coimbatore"/>
    <x v="6"/>
    <x v="9"/>
    <s v="&lt;15000"/>
    <x v="2"/>
    <s v="instant"/>
    <n v="2.5"/>
    <x v="2"/>
    <n v="7"/>
    <x v="0"/>
    <x v="1"/>
    <n v="167"/>
    <s v="local store"/>
    <x v="0"/>
    <x v="3"/>
    <x v="0"/>
  </r>
  <r>
    <n v="92"/>
    <n v="13982"/>
    <x v="3"/>
    <x v="0"/>
    <s v="Coimbatore"/>
    <x v="6"/>
    <x v="5"/>
    <s v="15000-30000"/>
    <x v="4"/>
    <s v="ready-to-drink"/>
    <n v="1.1000000000000001"/>
    <x v="2"/>
    <n v="7"/>
    <x v="2"/>
    <x v="1"/>
    <n v="282"/>
    <s v="local store"/>
    <x v="1"/>
    <x v="0"/>
    <x v="0"/>
  </r>
  <r>
    <n v="93"/>
    <n v="89880"/>
    <x v="0"/>
    <x v="0"/>
    <s v="Pune"/>
    <x v="4"/>
    <x v="5"/>
    <s v="100000+"/>
    <x v="2"/>
    <s v="instant"/>
    <n v="0.625"/>
    <x v="2"/>
    <n v="7"/>
    <x v="2"/>
    <x v="5"/>
    <n v="2319"/>
    <s v="local store"/>
    <x v="2"/>
    <x v="3"/>
    <x v="2"/>
  </r>
  <r>
    <n v="94"/>
    <n v="14617"/>
    <x v="2"/>
    <x v="0"/>
    <s v="Kolkata"/>
    <x v="5"/>
    <x v="8"/>
    <s v="15000-30000"/>
    <x v="1"/>
    <s v="ready-to-drink"/>
    <n v="1"/>
    <x v="1"/>
    <n v="3"/>
    <x v="1"/>
    <x v="0"/>
    <n v="543"/>
    <s v="Cafa"/>
    <x v="1"/>
    <x v="1"/>
    <x v="1"/>
  </r>
  <r>
    <n v="95"/>
    <n v="80793"/>
    <x v="3"/>
    <x v="1"/>
    <s v="Ahmedabad"/>
    <x v="9"/>
    <x v="0"/>
    <s v="15000-30000"/>
    <x v="7"/>
    <s v="instant"/>
    <n v="1.5"/>
    <x v="2"/>
    <n v="7"/>
    <x v="0"/>
    <x v="0"/>
    <n v="286"/>
    <s v="supermarket"/>
    <x v="0"/>
    <x v="2"/>
    <x v="2"/>
  </r>
  <r>
    <n v="96"/>
    <n v="97568"/>
    <x v="0"/>
    <x v="1"/>
    <s v="Coimbatore"/>
    <x v="6"/>
    <x v="3"/>
    <s v="100000+"/>
    <x v="0"/>
    <s v="filter"/>
    <n v="0.6"/>
    <x v="2"/>
    <n v="7"/>
    <x v="1"/>
    <x v="5"/>
    <n v="2458"/>
    <s v="supermarket"/>
    <x v="2"/>
    <x v="2"/>
    <x v="0"/>
  </r>
  <r>
    <n v="97"/>
    <n v="76996"/>
    <x v="3"/>
    <x v="0"/>
    <s v="Mysuru"/>
    <x v="0"/>
    <x v="6"/>
    <s v="30000-60000"/>
    <x v="0"/>
    <s v="filter"/>
    <n v="1.2"/>
    <x v="1"/>
    <n v="3"/>
    <x v="1"/>
    <x v="2"/>
    <n v="875"/>
    <s v="Cafa"/>
    <x v="1"/>
    <x v="0"/>
    <x v="0"/>
  </r>
  <r>
    <n v="98"/>
    <n v="51499"/>
    <x v="4"/>
    <x v="1"/>
    <s v="Pune"/>
    <x v="4"/>
    <x v="9"/>
    <s v="15000-30000"/>
    <x v="2"/>
    <s v="ready-to-drink"/>
    <n v="0.625"/>
    <x v="0"/>
    <n v="1"/>
    <x v="0"/>
    <x v="0"/>
    <n v="466"/>
    <s v="Cafa"/>
    <x v="2"/>
    <x v="0"/>
    <x v="2"/>
  </r>
  <r>
    <n v="99"/>
    <n v="41548"/>
    <x v="1"/>
    <x v="1"/>
    <s v="Jaipur"/>
    <x v="3"/>
    <x v="6"/>
    <s v="60000-100000"/>
    <x v="2"/>
    <s v="cold brew"/>
    <n v="2.5"/>
    <x v="1"/>
    <n v="3"/>
    <x v="2"/>
    <x v="3"/>
    <n v="1193"/>
    <s v="supermarket"/>
    <x v="0"/>
    <x v="3"/>
    <x v="2"/>
  </r>
  <r>
    <n v="100"/>
    <n v="53149"/>
    <x v="3"/>
    <x v="1"/>
    <s v="Pune"/>
    <x v="4"/>
    <x v="1"/>
    <s v="15000-30000"/>
    <x v="3"/>
    <s v="filter"/>
    <n v="1.1000000000000001"/>
    <x v="1"/>
    <n v="3"/>
    <x v="0"/>
    <x v="1"/>
    <n v="432"/>
    <s v="online"/>
    <x v="1"/>
    <x v="1"/>
    <x v="2"/>
  </r>
  <r>
    <n v="101"/>
    <n v="51597"/>
    <x v="2"/>
    <x v="0"/>
    <s v="Vizag"/>
    <x v="7"/>
    <x v="9"/>
    <s v="60000-100000"/>
    <x v="0"/>
    <s v="instant"/>
    <n v="0.6"/>
    <x v="2"/>
    <n v="7"/>
    <x v="0"/>
    <x v="5"/>
    <n v="1131"/>
    <s v="supermarket"/>
    <x v="2"/>
    <x v="0"/>
    <x v="0"/>
  </r>
  <r>
    <n v="102"/>
    <n v="70969"/>
    <x v="1"/>
    <x v="0"/>
    <s v="Kochi"/>
    <x v="8"/>
    <x v="9"/>
    <s v="15000-30000"/>
    <x v="2"/>
    <s v="cold brew"/>
    <n v="1.25"/>
    <x v="2"/>
    <n v="7"/>
    <x v="0"/>
    <x v="5"/>
    <n v="313"/>
    <s v="local store"/>
    <x v="1"/>
    <x v="0"/>
    <x v="2"/>
  </r>
  <r>
    <n v="103"/>
    <n v="14596"/>
    <x v="2"/>
    <x v="1"/>
    <s v="Jaipur"/>
    <x v="3"/>
    <x v="3"/>
    <s v="&lt;15000"/>
    <x v="1"/>
    <s v="instant"/>
    <n v="2"/>
    <x v="1"/>
    <n v="3"/>
    <x v="2"/>
    <x v="5"/>
    <n v="293"/>
    <s v="local store"/>
    <x v="0"/>
    <x v="1"/>
    <x v="2"/>
  </r>
  <r>
    <n v="104"/>
    <n v="78604"/>
    <x v="1"/>
    <x v="0"/>
    <s v="Bengaluru"/>
    <x v="0"/>
    <x v="3"/>
    <s v="15000-30000"/>
    <x v="0"/>
    <s v="filter"/>
    <n v="2.4"/>
    <x v="2"/>
    <n v="7"/>
    <x v="0"/>
    <x v="3"/>
    <n v="493"/>
    <s v="online"/>
    <x v="0"/>
    <x v="3"/>
    <x v="1"/>
  </r>
  <r>
    <n v="105"/>
    <n v="35636"/>
    <x v="3"/>
    <x v="1"/>
    <s v="Kochi"/>
    <x v="8"/>
    <x v="6"/>
    <s v="30000-60000"/>
    <x v="3"/>
    <s v="instant"/>
    <n v="0.55000000000000004"/>
    <x v="0"/>
    <n v="1"/>
    <x v="1"/>
    <x v="5"/>
    <n v="800"/>
    <s v="local store"/>
    <x v="2"/>
    <x v="0"/>
    <x v="2"/>
  </r>
  <r>
    <n v="106"/>
    <n v="33614"/>
    <x v="0"/>
    <x v="1"/>
    <s v="Delhi"/>
    <x v="2"/>
    <x v="5"/>
    <s v="15000-30000"/>
    <x v="5"/>
    <s v="instant"/>
    <n v="0.55000000000000004"/>
    <x v="0"/>
    <n v="1"/>
    <x v="2"/>
    <x v="1"/>
    <n v="393"/>
    <s v="local store"/>
    <x v="2"/>
    <x v="0"/>
    <x v="1"/>
  </r>
  <r>
    <n v="107"/>
    <n v="67876"/>
    <x v="2"/>
    <x v="0"/>
    <s v="Mumbai"/>
    <x v="4"/>
    <x v="8"/>
    <s v="60000-100000"/>
    <x v="0"/>
    <s v="instant"/>
    <n v="2.4"/>
    <x v="2"/>
    <n v="7"/>
    <x v="0"/>
    <x v="3"/>
    <n v="1305"/>
    <s v="Cafa"/>
    <x v="3"/>
    <x v="2"/>
    <x v="1"/>
  </r>
  <r>
    <n v="108"/>
    <n v="98862"/>
    <x v="0"/>
    <x v="0"/>
    <s v="Jaipur"/>
    <x v="3"/>
    <x v="6"/>
    <s v="&lt;15000"/>
    <x v="7"/>
    <s v="ready-to-drink"/>
    <n v="0.375"/>
    <x v="1"/>
    <n v="3"/>
    <x v="0"/>
    <x v="0"/>
    <n v="208"/>
    <s v="local store"/>
    <x v="2"/>
    <x v="2"/>
    <x v="2"/>
  </r>
  <r>
    <n v="109"/>
    <n v="81187"/>
    <x v="1"/>
    <x v="1"/>
    <s v="Delhi"/>
    <x v="2"/>
    <x v="7"/>
    <s v="30000-60000"/>
    <x v="7"/>
    <s v="instant"/>
    <n v="0.75"/>
    <x v="0"/>
    <n v="1"/>
    <x v="0"/>
    <x v="0"/>
    <n v="578"/>
    <s v="local store"/>
    <x v="1"/>
    <x v="1"/>
    <x v="1"/>
  </r>
  <r>
    <n v="110"/>
    <n v="13303"/>
    <x v="2"/>
    <x v="1"/>
    <s v="Delhi"/>
    <x v="2"/>
    <x v="1"/>
    <s v="30000-60000"/>
    <x v="4"/>
    <s v="ready-to-drink"/>
    <n v="2.2000000000000002"/>
    <x v="2"/>
    <n v="7"/>
    <x v="0"/>
    <x v="4"/>
    <n v="508"/>
    <s v="online"/>
    <x v="0"/>
    <x v="0"/>
    <x v="1"/>
  </r>
  <r>
    <n v="111"/>
    <n v="77038"/>
    <x v="2"/>
    <x v="0"/>
    <s v="Kochi"/>
    <x v="8"/>
    <x v="5"/>
    <s v="60000-100000"/>
    <x v="0"/>
    <s v="filter"/>
    <n v="0.6"/>
    <x v="2"/>
    <n v="7"/>
    <x v="0"/>
    <x v="3"/>
    <n v="1076"/>
    <s v="supermarket"/>
    <x v="2"/>
    <x v="0"/>
    <x v="2"/>
  </r>
  <r>
    <n v="112"/>
    <n v="40843"/>
    <x v="1"/>
    <x v="0"/>
    <s v="Kochi"/>
    <x v="8"/>
    <x v="7"/>
    <s v="60000-100000"/>
    <x v="1"/>
    <s v="cold brew"/>
    <n v="0.5"/>
    <x v="1"/>
    <n v="3"/>
    <x v="2"/>
    <x v="2"/>
    <n v="1054"/>
    <s v="supermarket"/>
    <x v="2"/>
    <x v="1"/>
    <x v="2"/>
  </r>
  <r>
    <n v="113"/>
    <n v="91192"/>
    <x v="1"/>
    <x v="1"/>
    <s v="Kolkata"/>
    <x v="5"/>
    <x v="3"/>
    <s v="15000-30000"/>
    <x v="0"/>
    <s v="instant"/>
    <n v="1.2"/>
    <x v="2"/>
    <n v="7"/>
    <x v="0"/>
    <x v="5"/>
    <n v="250"/>
    <s v="Cafa"/>
    <x v="1"/>
    <x v="0"/>
    <x v="1"/>
  </r>
  <r>
    <n v="114"/>
    <n v="35270"/>
    <x v="0"/>
    <x v="0"/>
    <s v="Chennai"/>
    <x v="6"/>
    <x v="2"/>
    <s v="&lt;15000"/>
    <x v="4"/>
    <s v="ready-to-drink"/>
    <n v="2.2000000000000002"/>
    <x v="0"/>
    <n v="1"/>
    <x v="1"/>
    <x v="1"/>
    <n v="387"/>
    <s v="online"/>
    <x v="3"/>
    <x v="3"/>
    <x v="1"/>
  </r>
  <r>
    <n v="115"/>
    <n v="11743"/>
    <x v="0"/>
    <x v="0"/>
    <s v="Mysuru"/>
    <x v="0"/>
    <x v="0"/>
    <s v="60000-100000"/>
    <x v="0"/>
    <s v="filter"/>
    <n v="0.6"/>
    <x v="2"/>
    <n v="7"/>
    <x v="0"/>
    <x v="1"/>
    <n v="1111"/>
    <s v="supermarket"/>
    <x v="2"/>
    <x v="0"/>
    <x v="0"/>
  </r>
  <r>
    <n v="116"/>
    <n v="19094"/>
    <x v="2"/>
    <x v="0"/>
    <s v="Delhi"/>
    <x v="2"/>
    <x v="5"/>
    <s v="30000-60000"/>
    <x v="1"/>
    <s v="ready-to-drink"/>
    <n v="2"/>
    <x v="1"/>
    <n v="3"/>
    <x v="0"/>
    <x v="4"/>
    <n v="660"/>
    <s v="supermarket"/>
    <x v="3"/>
    <x v="2"/>
    <x v="1"/>
  </r>
  <r>
    <n v="117"/>
    <n v="47036"/>
    <x v="4"/>
    <x v="1"/>
    <s v="Chennai"/>
    <x v="6"/>
    <x v="0"/>
    <s v="15000-30000"/>
    <x v="2"/>
    <s v="instant"/>
    <n v="2.5"/>
    <x v="2"/>
    <n v="7"/>
    <x v="2"/>
    <x v="1"/>
    <n v="466"/>
    <s v="supermarket"/>
    <x v="0"/>
    <x v="1"/>
    <x v="1"/>
  </r>
  <r>
    <n v="118"/>
    <n v="85505"/>
    <x v="0"/>
    <x v="0"/>
    <s v="Coimbatore"/>
    <x v="6"/>
    <x v="6"/>
    <s v="15000-30000"/>
    <x v="3"/>
    <s v="filter"/>
    <n v="0.55000000000000004"/>
    <x v="2"/>
    <n v="7"/>
    <x v="0"/>
    <x v="1"/>
    <n v="419"/>
    <s v="supermarket"/>
    <x v="2"/>
    <x v="0"/>
    <x v="0"/>
  </r>
  <r>
    <n v="119"/>
    <n v="99019"/>
    <x v="1"/>
    <x v="0"/>
    <s v="Jaipur"/>
    <x v="3"/>
    <x v="7"/>
    <s v="&lt;15000"/>
    <x v="2"/>
    <s v="cold brew"/>
    <n v="1.25"/>
    <x v="2"/>
    <n v="7"/>
    <x v="1"/>
    <x v="0"/>
    <n v="198"/>
    <s v="local store"/>
    <x v="1"/>
    <x v="2"/>
    <x v="2"/>
  </r>
  <r>
    <n v="120"/>
    <n v="77487"/>
    <x v="1"/>
    <x v="0"/>
    <s v="Vizag"/>
    <x v="7"/>
    <x v="8"/>
    <s v="30000-60000"/>
    <x v="2"/>
    <s v="espresso"/>
    <n v="2.5"/>
    <x v="2"/>
    <n v="7"/>
    <x v="0"/>
    <x v="5"/>
    <n v="581"/>
    <s v="local store"/>
    <x v="0"/>
    <x v="2"/>
    <x v="0"/>
  </r>
  <r>
    <n v="121"/>
    <n v="91368"/>
    <x v="1"/>
    <x v="1"/>
    <s v="Kolkata"/>
    <x v="5"/>
    <x v="8"/>
    <s v="30000-60000"/>
    <x v="4"/>
    <s v="instant"/>
    <n v="1.1000000000000001"/>
    <x v="2"/>
    <n v="7"/>
    <x v="0"/>
    <x v="1"/>
    <n v="488"/>
    <s v="supermarket"/>
    <x v="1"/>
    <x v="3"/>
    <x v="1"/>
  </r>
  <r>
    <n v="122"/>
    <n v="39124"/>
    <x v="3"/>
    <x v="1"/>
    <s v="Delhi"/>
    <x v="2"/>
    <x v="7"/>
    <s v="30000-60000"/>
    <x v="3"/>
    <s v="instant"/>
    <n v="1.1000000000000001"/>
    <x v="2"/>
    <n v="7"/>
    <x v="1"/>
    <x v="0"/>
    <n v="808"/>
    <s v="local store"/>
    <x v="1"/>
    <x v="0"/>
    <x v="1"/>
  </r>
  <r>
    <n v="123"/>
    <n v="77748"/>
    <x v="1"/>
    <x v="1"/>
    <s v="Indore"/>
    <x v="10"/>
    <x v="4"/>
    <s v="30000-60000"/>
    <x v="6"/>
    <s v="instant"/>
    <n v="0.55000000000000004"/>
    <x v="1"/>
    <n v="3"/>
    <x v="1"/>
    <x v="4"/>
    <n v="896"/>
    <s v="Cafa"/>
    <x v="2"/>
    <x v="1"/>
    <x v="0"/>
  </r>
  <r>
    <n v="124"/>
    <n v="19801"/>
    <x v="1"/>
    <x v="0"/>
    <s v="Vizag"/>
    <x v="7"/>
    <x v="4"/>
    <s v="30000-60000"/>
    <x v="0"/>
    <s v="instant"/>
    <n v="2.4"/>
    <x v="2"/>
    <n v="7"/>
    <x v="0"/>
    <x v="0"/>
    <n v="414"/>
    <s v="online"/>
    <x v="3"/>
    <x v="2"/>
    <x v="0"/>
  </r>
  <r>
    <n v="125"/>
    <n v="21772"/>
    <x v="2"/>
    <x v="0"/>
    <s v="Mumbai"/>
    <x v="4"/>
    <x v="7"/>
    <s v="15000-30000"/>
    <x v="6"/>
    <s v="cold brew"/>
    <n v="1.1000000000000001"/>
    <x v="2"/>
    <n v="7"/>
    <x v="1"/>
    <x v="1"/>
    <n v="482"/>
    <s v="online"/>
    <x v="1"/>
    <x v="2"/>
    <x v="1"/>
  </r>
  <r>
    <n v="126"/>
    <n v="65493"/>
    <x v="2"/>
    <x v="0"/>
    <s v="Pune"/>
    <x v="4"/>
    <x v="2"/>
    <s v="30000-60000"/>
    <x v="4"/>
    <s v="filter"/>
    <n v="1.1000000000000001"/>
    <x v="2"/>
    <n v="7"/>
    <x v="0"/>
    <x v="1"/>
    <n v="714"/>
    <s v="online"/>
    <x v="1"/>
    <x v="3"/>
    <x v="2"/>
  </r>
  <r>
    <n v="127"/>
    <n v="76307"/>
    <x v="1"/>
    <x v="1"/>
    <s v="Delhi"/>
    <x v="2"/>
    <x v="7"/>
    <s v="&lt;15000"/>
    <x v="2"/>
    <s v="instant"/>
    <n v="0.625"/>
    <x v="2"/>
    <n v="7"/>
    <x v="0"/>
    <x v="1"/>
    <n v="235"/>
    <s v="Cafa"/>
    <x v="2"/>
    <x v="0"/>
    <x v="1"/>
  </r>
  <r>
    <n v="128"/>
    <n v="50014"/>
    <x v="2"/>
    <x v="0"/>
    <s v="Vizag"/>
    <x v="7"/>
    <x v="0"/>
    <s v="30000-60000"/>
    <x v="1"/>
    <s v="filter"/>
    <n v="0.5"/>
    <x v="1"/>
    <n v="3"/>
    <x v="1"/>
    <x v="4"/>
    <n v="896"/>
    <s v="Cafa"/>
    <x v="2"/>
    <x v="3"/>
    <x v="0"/>
  </r>
  <r>
    <n v="129"/>
    <n v="62852"/>
    <x v="3"/>
    <x v="0"/>
    <s v="Pune"/>
    <x v="4"/>
    <x v="4"/>
    <s v="30000-60000"/>
    <x v="6"/>
    <s v="ready-to-drink"/>
    <n v="2.2000000000000002"/>
    <x v="1"/>
    <n v="3"/>
    <x v="1"/>
    <x v="1"/>
    <n v="490"/>
    <s v="local store"/>
    <x v="3"/>
    <x v="2"/>
    <x v="2"/>
  </r>
  <r>
    <n v="130"/>
    <n v="57328"/>
    <x v="3"/>
    <x v="0"/>
    <s v="Mysuru"/>
    <x v="0"/>
    <x v="1"/>
    <s v="30000-60000"/>
    <x v="6"/>
    <s v="filter"/>
    <n v="0.55000000000000004"/>
    <x v="2"/>
    <n v="7"/>
    <x v="0"/>
    <x v="4"/>
    <n v="521"/>
    <s v="supermarket"/>
    <x v="2"/>
    <x v="0"/>
    <x v="0"/>
  </r>
  <r>
    <n v="131"/>
    <n v="70330"/>
    <x v="3"/>
    <x v="0"/>
    <s v="Jaipur"/>
    <x v="3"/>
    <x v="4"/>
    <s v="30000-60000"/>
    <x v="5"/>
    <s v="espresso"/>
    <n v="2.2000000000000002"/>
    <x v="1"/>
    <n v="3"/>
    <x v="0"/>
    <x v="0"/>
    <n v="589"/>
    <s v="local store"/>
    <x v="0"/>
    <x v="0"/>
    <x v="2"/>
  </r>
  <r>
    <n v="132"/>
    <n v="14233"/>
    <x v="0"/>
    <x v="0"/>
    <s v="Coimbatore"/>
    <x v="6"/>
    <x v="1"/>
    <s v="30000-60000"/>
    <x v="0"/>
    <s v="filter"/>
    <n v="1.2"/>
    <x v="2"/>
    <n v="7"/>
    <x v="2"/>
    <x v="5"/>
    <n v="803"/>
    <s v="Cafa"/>
    <x v="1"/>
    <x v="3"/>
    <x v="0"/>
  </r>
  <r>
    <n v="133"/>
    <n v="79800"/>
    <x v="2"/>
    <x v="0"/>
    <s v="Kochi"/>
    <x v="8"/>
    <x v="7"/>
    <s v="30000-60000"/>
    <x v="5"/>
    <s v="cold brew"/>
    <n v="0.55000000000000004"/>
    <x v="2"/>
    <n v="7"/>
    <x v="0"/>
    <x v="2"/>
    <n v="866"/>
    <s v="Cafa"/>
    <x v="2"/>
    <x v="0"/>
    <x v="2"/>
  </r>
  <r>
    <n v="134"/>
    <n v="45520"/>
    <x v="0"/>
    <x v="1"/>
    <s v="Nagpur"/>
    <x v="4"/>
    <x v="1"/>
    <s v="60000-100000"/>
    <x v="5"/>
    <s v="cold brew"/>
    <n v="1.1000000000000001"/>
    <x v="2"/>
    <n v="7"/>
    <x v="0"/>
    <x v="0"/>
    <n v="1391"/>
    <s v="supermarket"/>
    <x v="1"/>
    <x v="0"/>
    <x v="2"/>
  </r>
  <r>
    <n v="135"/>
    <n v="92420"/>
    <x v="0"/>
    <x v="0"/>
    <s v="Mysuru"/>
    <x v="0"/>
    <x v="2"/>
    <s v="60000-100000"/>
    <x v="0"/>
    <s v="filter"/>
    <n v="1.2"/>
    <x v="2"/>
    <n v="7"/>
    <x v="0"/>
    <x v="2"/>
    <n v="1032"/>
    <s v="Cafa"/>
    <x v="1"/>
    <x v="0"/>
    <x v="0"/>
  </r>
  <r>
    <n v="136"/>
    <n v="28132"/>
    <x v="0"/>
    <x v="1"/>
    <s v="Bengaluru"/>
    <x v="0"/>
    <x v="6"/>
    <s v="60000-100000"/>
    <x v="0"/>
    <s v="filter"/>
    <n v="2.4"/>
    <x v="2"/>
    <n v="7"/>
    <x v="1"/>
    <x v="0"/>
    <n v="1182"/>
    <s v="Cafa"/>
    <x v="3"/>
    <x v="0"/>
    <x v="1"/>
  </r>
  <r>
    <n v="137"/>
    <n v="23904"/>
    <x v="0"/>
    <x v="0"/>
    <s v="Nagpur"/>
    <x v="4"/>
    <x v="4"/>
    <s v="15000-30000"/>
    <x v="2"/>
    <s v="cold brew"/>
    <n v="2.5"/>
    <x v="2"/>
    <n v="7"/>
    <x v="1"/>
    <x v="5"/>
    <n v="586"/>
    <s v="Cafa"/>
    <x v="0"/>
    <x v="3"/>
    <x v="2"/>
  </r>
  <r>
    <n v="138"/>
    <n v="12806"/>
    <x v="0"/>
    <x v="0"/>
    <s v="Kochi"/>
    <x v="8"/>
    <x v="1"/>
    <s v="&lt;15000"/>
    <x v="2"/>
    <s v="cold brew"/>
    <n v="0.625"/>
    <x v="2"/>
    <n v="7"/>
    <x v="2"/>
    <x v="5"/>
    <n v="203"/>
    <s v="Cafa"/>
    <x v="2"/>
    <x v="3"/>
    <x v="2"/>
  </r>
  <r>
    <n v="139"/>
    <n v="30679"/>
    <x v="0"/>
    <x v="1"/>
    <s v="Nagpur"/>
    <x v="4"/>
    <x v="8"/>
    <s v="60000-100000"/>
    <x v="6"/>
    <s v="filter"/>
    <n v="2.2000000000000002"/>
    <x v="2"/>
    <n v="7"/>
    <x v="2"/>
    <x v="0"/>
    <n v="1402"/>
    <s v="supermarket"/>
    <x v="3"/>
    <x v="1"/>
    <x v="2"/>
  </r>
  <r>
    <n v="140"/>
    <n v="15858"/>
    <x v="0"/>
    <x v="0"/>
    <s v="Coimbatore"/>
    <x v="6"/>
    <x v="9"/>
    <s v="30000-60000"/>
    <x v="0"/>
    <s v="filter"/>
    <n v="2.4"/>
    <x v="1"/>
    <n v="3"/>
    <x v="1"/>
    <x v="1"/>
    <n v="614"/>
    <s v="Cafa"/>
    <x v="3"/>
    <x v="0"/>
    <x v="0"/>
  </r>
  <r>
    <n v="141"/>
    <n v="78512"/>
    <x v="1"/>
    <x v="1"/>
    <s v="Vizag"/>
    <x v="7"/>
    <x v="8"/>
    <s v="&lt;15000"/>
    <x v="3"/>
    <s v="instant"/>
    <n v="2.2000000000000002"/>
    <x v="2"/>
    <n v="7"/>
    <x v="1"/>
    <x v="3"/>
    <n v="211"/>
    <s v="supermarket"/>
    <x v="3"/>
    <x v="2"/>
    <x v="0"/>
  </r>
  <r>
    <n v="142"/>
    <n v="64867"/>
    <x v="2"/>
    <x v="0"/>
    <s v="Vizag"/>
    <x v="7"/>
    <x v="5"/>
    <s v="15000-30000"/>
    <x v="2"/>
    <s v="filter"/>
    <n v="1.25"/>
    <x v="2"/>
    <n v="7"/>
    <x v="0"/>
    <x v="1"/>
    <n v="387"/>
    <s v="supermarket"/>
    <x v="1"/>
    <x v="2"/>
    <x v="0"/>
  </r>
  <r>
    <n v="143"/>
    <n v="24183"/>
    <x v="2"/>
    <x v="0"/>
    <s v="Hyderabad"/>
    <x v="1"/>
    <x v="3"/>
    <s v="30000-60000"/>
    <x v="7"/>
    <s v="instant"/>
    <n v="0.75"/>
    <x v="0"/>
    <n v="1"/>
    <x v="0"/>
    <x v="1"/>
    <n v="548"/>
    <s v="Cafa"/>
    <x v="1"/>
    <x v="1"/>
    <x v="1"/>
  </r>
  <r>
    <n v="144"/>
    <n v="36986"/>
    <x v="0"/>
    <x v="1"/>
    <s v="Chennai"/>
    <x v="6"/>
    <x v="6"/>
    <s v="15000-30000"/>
    <x v="0"/>
    <s v="filter"/>
    <n v="2.4"/>
    <x v="2"/>
    <n v="7"/>
    <x v="1"/>
    <x v="0"/>
    <n v="516"/>
    <s v="supermarket"/>
    <x v="3"/>
    <x v="2"/>
    <x v="1"/>
  </r>
  <r>
    <n v="145"/>
    <n v="25969"/>
    <x v="1"/>
    <x v="1"/>
    <s v="Indore"/>
    <x v="10"/>
    <x v="4"/>
    <s v="&lt;15000"/>
    <x v="3"/>
    <s v="instant"/>
    <n v="2.2000000000000002"/>
    <x v="1"/>
    <n v="3"/>
    <x v="1"/>
    <x v="1"/>
    <n v="197"/>
    <s v="Cafa"/>
    <x v="0"/>
    <x v="0"/>
    <x v="0"/>
  </r>
  <r>
    <n v="146"/>
    <n v="87581"/>
    <x v="1"/>
    <x v="0"/>
    <s v="Chennai"/>
    <x v="6"/>
    <x v="1"/>
    <s v="100000+"/>
    <x v="0"/>
    <s v="filter"/>
    <n v="1.2"/>
    <x v="1"/>
    <n v="3"/>
    <x v="2"/>
    <x v="1"/>
    <n v="2386"/>
    <s v="online"/>
    <x v="1"/>
    <x v="2"/>
    <x v="1"/>
  </r>
  <r>
    <n v="147"/>
    <n v="52273"/>
    <x v="0"/>
    <x v="0"/>
    <s v="Ahmedabad"/>
    <x v="9"/>
    <x v="4"/>
    <s v="30000-60000"/>
    <x v="1"/>
    <s v="instant"/>
    <n v="2"/>
    <x v="1"/>
    <n v="3"/>
    <x v="0"/>
    <x v="0"/>
    <n v="423"/>
    <s v="Cafa"/>
    <x v="0"/>
    <x v="3"/>
    <x v="2"/>
  </r>
  <r>
    <n v="148"/>
    <n v="77176"/>
    <x v="1"/>
    <x v="1"/>
    <s v="Ahmedabad"/>
    <x v="9"/>
    <x v="0"/>
    <s v="30000-60000"/>
    <x v="2"/>
    <s v="cold brew"/>
    <n v="0.625"/>
    <x v="2"/>
    <n v="7"/>
    <x v="0"/>
    <x v="2"/>
    <n v="549"/>
    <s v="online"/>
    <x v="2"/>
    <x v="0"/>
    <x v="2"/>
  </r>
  <r>
    <n v="149"/>
    <n v="34673"/>
    <x v="1"/>
    <x v="0"/>
    <s v="Ahmedabad"/>
    <x v="9"/>
    <x v="0"/>
    <s v="30000-60000"/>
    <x v="3"/>
    <s v="filter"/>
    <n v="2.2000000000000002"/>
    <x v="2"/>
    <n v="7"/>
    <x v="1"/>
    <x v="1"/>
    <n v="625"/>
    <s v="local store"/>
    <x v="0"/>
    <x v="1"/>
    <x v="2"/>
  </r>
  <r>
    <n v="150"/>
    <n v="24061"/>
    <x v="2"/>
    <x v="0"/>
    <s v="Mumbai"/>
    <x v="4"/>
    <x v="3"/>
    <s v="30000-60000"/>
    <x v="1"/>
    <s v="ready-to-drink"/>
    <n v="2"/>
    <x v="0"/>
    <n v="1"/>
    <x v="2"/>
    <x v="1"/>
    <n v="731"/>
    <s v="online"/>
    <x v="3"/>
    <x v="2"/>
    <x v="1"/>
  </r>
  <r>
    <n v="151"/>
    <n v="57265"/>
    <x v="0"/>
    <x v="0"/>
    <s v="Delhi"/>
    <x v="2"/>
    <x v="5"/>
    <s v="30000-60000"/>
    <x v="2"/>
    <s v="instant"/>
    <n v="0.625"/>
    <x v="2"/>
    <n v="7"/>
    <x v="0"/>
    <x v="1"/>
    <n v="882"/>
    <s v="online"/>
    <x v="2"/>
    <x v="3"/>
    <x v="1"/>
  </r>
  <r>
    <n v="152"/>
    <n v="86416"/>
    <x v="2"/>
    <x v="0"/>
    <s v="Delhi"/>
    <x v="2"/>
    <x v="4"/>
    <s v="&lt;15000"/>
    <x v="7"/>
    <s v="filter"/>
    <n v="1.5"/>
    <x v="0"/>
    <n v="1"/>
    <x v="1"/>
    <x v="2"/>
    <n v="364"/>
    <s v="online"/>
    <x v="3"/>
    <x v="0"/>
    <x v="1"/>
  </r>
  <r>
    <n v="153"/>
    <n v="21607"/>
    <x v="1"/>
    <x v="1"/>
    <s v="Vizag"/>
    <x v="7"/>
    <x v="0"/>
    <s v="30000-60000"/>
    <x v="5"/>
    <s v="instant"/>
    <n v="2.2000000000000002"/>
    <x v="2"/>
    <n v="7"/>
    <x v="0"/>
    <x v="0"/>
    <n v="402"/>
    <s v="supermarket"/>
    <x v="3"/>
    <x v="1"/>
    <x v="0"/>
  </r>
  <r>
    <n v="154"/>
    <n v="84455"/>
    <x v="0"/>
    <x v="0"/>
    <s v="Hyderabad"/>
    <x v="1"/>
    <x v="2"/>
    <s v="30000-60000"/>
    <x v="3"/>
    <s v="instant"/>
    <n v="1.1000000000000001"/>
    <x v="2"/>
    <n v="7"/>
    <x v="2"/>
    <x v="5"/>
    <n v="566"/>
    <s v="supermarket"/>
    <x v="1"/>
    <x v="0"/>
    <x v="1"/>
  </r>
  <r>
    <n v="155"/>
    <n v="52789"/>
    <x v="4"/>
    <x v="0"/>
    <s v="Indore"/>
    <x v="10"/>
    <x v="8"/>
    <s v="100000+"/>
    <x v="4"/>
    <s v="instant"/>
    <n v="1.1000000000000001"/>
    <x v="0"/>
    <n v="1"/>
    <x v="0"/>
    <x v="1"/>
    <n v="2620"/>
    <s v="local store"/>
    <x v="1"/>
    <x v="1"/>
    <x v="0"/>
  </r>
  <r>
    <n v="156"/>
    <n v="41590"/>
    <x v="1"/>
    <x v="0"/>
    <s v="Ahmedabad"/>
    <x v="9"/>
    <x v="0"/>
    <s v="30000-60000"/>
    <x v="3"/>
    <s v="filter"/>
    <n v="0.55000000000000004"/>
    <x v="0"/>
    <n v="1"/>
    <x v="1"/>
    <x v="1"/>
    <n v="641"/>
    <s v="local store"/>
    <x v="2"/>
    <x v="3"/>
    <x v="2"/>
  </r>
  <r>
    <n v="157"/>
    <n v="90227"/>
    <x v="1"/>
    <x v="0"/>
    <s v="Delhi"/>
    <x v="2"/>
    <x v="8"/>
    <s v="15000-30000"/>
    <x v="6"/>
    <s v="filter"/>
    <n v="2.2000000000000002"/>
    <x v="2"/>
    <n v="7"/>
    <x v="0"/>
    <x v="4"/>
    <n v="321"/>
    <s v="local store"/>
    <x v="0"/>
    <x v="0"/>
    <x v="1"/>
  </r>
  <r>
    <n v="158"/>
    <n v="39055"/>
    <x v="1"/>
    <x v="1"/>
    <s v="Coimbatore"/>
    <x v="6"/>
    <x v="4"/>
    <s v="15000-30000"/>
    <x v="2"/>
    <s v="cold brew"/>
    <n v="0.625"/>
    <x v="0"/>
    <n v="1"/>
    <x v="2"/>
    <x v="4"/>
    <n v="415"/>
    <s v="Cafa"/>
    <x v="2"/>
    <x v="0"/>
    <x v="0"/>
  </r>
  <r>
    <n v="159"/>
    <n v="10628"/>
    <x v="4"/>
    <x v="1"/>
    <s v="Vizag"/>
    <x v="7"/>
    <x v="2"/>
    <s v="30000-60000"/>
    <x v="7"/>
    <s v="instant"/>
    <n v="0.375"/>
    <x v="1"/>
    <n v="3"/>
    <x v="2"/>
    <x v="3"/>
    <n v="866"/>
    <s v="local store"/>
    <x v="2"/>
    <x v="3"/>
    <x v="0"/>
  </r>
  <r>
    <n v="160"/>
    <n v="92761"/>
    <x v="3"/>
    <x v="1"/>
    <s v="Kolkata"/>
    <x v="5"/>
    <x v="9"/>
    <s v="15000-30000"/>
    <x v="4"/>
    <s v="filter"/>
    <n v="2.2000000000000002"/>
    <x v="2"/>
    <n v="7"/>
    <x v="2"/>
    <x v="1"/>
    <n v="417"/>
    <s v="local store"/>
    <x v="3"/>
    <x v="0"/>
    <x v="1"/>
  </r>
  <r>
    <n v="161"/>
    <n v="10221"/>
    <x v="0"/>
    <x v="1"/>
    <s v="Kolkata"/>
    <x v="5"/>
    <x v="6"/>
    <s v="&lt;15000"/>
    <x v="4"/>
    <s v="instant"/>
    <n v="1.1000000000000001"/>
    <x v="0"/>
    <n v="1"/>
    <x v="0"/>
    <x v="1"/>
    <n v="248"/>
    <s v="local store"/>
    <x v="1"/>
    <x v="1"/>
    <x v="1"/>
  </r>
  <r>
    <n v="162"/>
    <n v="27850"/>
    <x v="2"/>
    <x v="0"/>
    <s v="Kolkata"/>
    <x v="5"/>
    <x v="8"/>
    <s v="60000-100000"/>
    <x v="7"/>
    <s v="cold brew"/>
    <n v="1.5"/>
    <x v="2"/>
    <n v="7"/>
    <x v="1"/>
    <x v="1"/>
    <n v="1379"/>
    <s v="online"/>
    <x v="0"/>
    <x v="1"/>
    <x v="1"/>
  </r>
  <r>
    <n v="163"/>
    <n v="95350"/>
    <x v="3"/>
    <x v="1"/>
    <s v="Indore"/>
    <x v="10"/>
    <x v="4"/>
    <s v="&lt;15000"/>
    <x v="6"/>
    <s v="instant"/>
    <n v="2.2000000000000002"/>
    <x v="2"/>
    <n v="7"/>
    <x v="0"/>
    <x v="3"/>
    <n v="314"/>
    <s v="online"/>
    <x v="0"/>
    <x v="2"/>
    <x v="0"/>
  </r>
  <r>
    <n v="164"/>
    <n v="21514"/>
    <x v="0"/>
    <x v="1"/>
    <s v="Jaipur"/>
    <x v="3"/>
    <x v="1"/>
    <s v="60000-100000"/>
    <x v="4"/>
    <s v="filter"/>
    <n v="2.2000000000000002"/>
    <x v="2"/>
    <n v="7"/>
    <x v="1"/>
    <x v="1"/>
    <n v="1272"/>
    <s v="local store"/>
    <x v="3"/>
    <x v="3"/>
    <x v="2"/>
  </r>
  <r>
    <n v="165"/>
    <n v="35705"/>
    <x v="2"/>
    <x v="1"/>
    <s v="Vizag"/>
    <x v="7"/>
    <x v="2"/>
    <s v="&lt;15000"/>
    <x v="1"/>
    <s v="instant"/>
    <n v="0.5"/>
    <x v="2"/>
    <n v="7"/>
    <x v="0"/>
    <x v="0"/>
    <n v="208"/>
    <s v="Cafa"/>
    <x v="2"/>
    <x v="1"/>
    <x v="0"/>
  </r>
  <r>
    <n v="166"/>
    <n v="50112"/>
    <x v="1"/>
    <x v="1"/>
    <s v="Coimbatore"/>
    <x v="6"/>
    <x v="9"/>
    <s v="15000-30000"/>
    <x v="3"/>
    <s v="instant"/>
    <n v="0.55000000000000004"/>
    <x v="2"/>
    <n v="7"/>
    <x v="0"/>
    <x v="0"/>
    <n v="364"/>
    <s v="supermarket"/>
    <x v="2"/>
    <x v="1"/>
    <x v="0"/>
  </r>
  <r>
    <n v="167"/>
    <n v="52854"/>
    <x v="2"/>
    <x v="1"/>
    <s v="Indore"/>
    <x v="10"/>
    <x v="0"/>
    <s v="&lt;15000"/>
    <x v="5"/>
    <s v="instant"/>
    <n v="0.55000000000000004"/>
    <x v="1"/>
    <n v="3"/>
    <x v="0"/>
    <x v="5"/>
    <n v="155"/>
    <s v="online"/>
    <x v="2"/>
    <x v="1"/>
    <x v="0"/>
  </r>
  <r>
    <n v="168"/>
    <n v="51955"/>
    <x v="1"/>
    <x v="0"/>
    <s v="Kochi"/>
    <x v="8"/>
    <x v="7"/>
    <s v="30000-60000"/>
    <x v="2"/>
    <s v="cold brew"/>
    <n v="2.5"/>
    <x v="2"/>
    <n v="7"/>
    <x v="1"/>
    <x v="5"/>
    <n v="659"/>
    <s v="online"/>
    <x v="0"/>
    <x v="1"/>
    <x v="2"/>
  </r>
  <r>
    <n v="169"/>
    <n v="94563"/>
    <x v="0"/>
    <x v="1"/>
    <s v="Mysuru"/>
    <x v="0"/>
    <x v="0"/>
    <s v="15000-30000"/>
    <x v="0"/>
    <s v="filter"/>
    <n v="1.2"/>
    <x v="2"/>
    <n v="7"/>
    <x v="1"/>
    <x v="2"/>
    <n v="593"/>
    <s v="Cafa"/>
    <x v="1"/>
    <x v="1"/>
    <x v="0"/>
  </r>
  <r>
    <n v="170"/>
    <n v="97122"/>
    <x v="0"/>
    <x v="0"/>
    <s v="Indore"/>
    <x v="10"/>
    <x v="3"/>
    <s v="30000-60000"/>
    <x v="1"/>
    <s v="instant"/>
    <n v="2"/>
    <x v="0"/>
    <n v="1"/>
    <x v="1"/>
    <x v="4"/>
    <n v="410"/>
    <s v="supermarket"/>
    <x v="3"/>
    <x v="3"/>
    <x v="0"/>
  </r>
  <r>
    <n v="171"/>
    <n v="84995"/>
    <x v="4"/>
    <x v="1"/>
    <s v="Kochi"/>
    <x v="8"/>
    <x v="3"/>
    <s v="15000-30000"/>
    <x v="3"/>
    <s v="instant"/>
    <n v="1.1000000000000001"/>
    <x v="2"/>
    <n v="7"/>
    <x v="1"/>
    <x v="1"/>
    <n v="482"/>
    <s v="local store"/>
    <x v="1"/>
    <x v="0"/>
    <x v="2"/>
  </r>
  <r>
    <n v="172"/>
    <n v="12488"/>
    <x v="1"/>
    <x v="1"/>
    <s v="Kolkata"/>
    <x v="5"/>
    <x v="7"/>
    <s v="30000-60000"/>
    <x v="4"/>
    <s v="instant"/>
    <n v="0.55000000000000004"/>
    <x v="2"/>
    <n v="7"/>
    <x v="1"/>
    <x v="0"/>
    <n v="559"/>
    <s v="Cafa"/>
    <x v="2"/>
    <x v="3"/>
    <x v="1"/>
  </r>
  <r>
    <n v="173"/>
    <n v="77718"/>
    <x v="0"/>
    <x v="1"/>
    <s v="Pune"/>
    <x v="4"/>
    <x v="0"/>
    <s v="60000-100000"/>
    <x v="0"/>
    <s v="filter"/>
    <n v="0.6"/>
    <x v="2"/>
    <n v="7"/>
    <x v="0"/>
    <x v="1"/>
    <n v="918"/>
    <s v="supermarket"/>
    <x v="2"/>
    <x v="1"/>
    <x v="2"/>
  </r>
  <r>
    <n v="174"/>
    <n v="98084"/>
    <x v="1"/>
    <x v="1"/>
    <s v="Chennai"/>
    <x v="6"/>
    <x v="1"/>
    <s v="60000-100000"/>
    <x v="2"/>
    <s v="cold brew"/>
    <n v="0.625"/>
    <x v="1"/>
    <n v="3"/>
    <x v="1"/>
    <x v="0"/>
    <n v="1481"/>
    <s v="supermarket"/>
    <x v="2"/>
    <x v="2"/>
    <x v="1"/>
  </r>
  <r>
    <n v="175"/>
    <n v="26301"/>
    <x v="0"/>
    <x v="0"/>
    <s v="Kochi"/>
    <x v="8"/>
    <x v="6"/>
    <s v="&lt;15000"/>
    <x v="3"/>
    <s v="instant"/>
    <n v="2.2000000000000002"/>
    <x v="2"/>
    <n v="7"/>
    <x v="1"/>
    <x v="4"/>
    <n v="253"/>
    <s v="supermarket"/>
    <x v="0"/>
    <x v="3"/>
    <x v="2"/>
  </r>
  <r>
    <n v="176"/>
    <n v="77951"/>
    <x v="0"/>
    <x v="0"/>
    <s v="Chennai"/>
    <x v="6"/>
    <x v="6"/>
    <s v="60000-100000"/>
    <x v="6"/>
    <s v="instant"/>
    <n v="2.2000000000000002"/>
    <x v="0"/>
    <n v="1"/>
    <x v="1"/>
    <x v="1"/>
    <n v="1091"/>
    <s v="online"/>
    <x v="0"/>
    <x v="2"/>
    <x v="1"/>
  </r>
  <r>
    <n v="177"/>
    <n v="66134"/>
    <x v="1"/>
    <x v="1"/>
    <s v="Ahmedabad"/>
    <x v="9"/>
    <x v="1"/>
    <s v="60000-100000"/>
    <x v="2"/>
    <s v="cold brew"/>
    <n v="0.625"/>
    <x v="2"/>
    <n v="7"/>
    <x v="0"/>
    <x v="1"/>
    <n v="1321"/>
    <s v="supermarket"/>
    <x v="2"/>
    <x v="0"/>
    <x v="2"/>
  </r>
  <r>
    <n v="178"/>
    <n v="20621"/>
    <x v="0"/>
    <x v="0"/>
    <s v="Bengaluru"/>
    <x v="0"/>
    <x v="4"/>
    <s v="15000-30000"/>
    <x v="0"/>
    <s v="instant"/>
    <n v="1.2"/>
    <x v="2"/>
    <n v="7"/>
    <x v="0"/>
    <x v="2"/>
    <n v="516"/>
    <s v="online"/>
    <x v="1"/>
    <x v="2"/>
    <x v="1"/>
  </r>
  <r>
    <n v="179"/>
    <n v="14110"/>
    <x v="0"/>
    <x v="1"/>
    <s v="Hyderabad"/>
    <x v="1"/>
    <x v="4"/>
    <s v="&lt;15000"/>
    <x v="2"/>
    <s v="instant"/>
    <n v="0.625"/>
    <x v="0"/>
    <n v="1"/>
    <x v="1"/>
    <x v="1"/>
    <n v="205"/>
    <s v="local store"/>
    <x v="2"/>
    <x v="2"/>
    <x v="1"/>
  </r>
  <r>
    <n v="180"/>
    <n v="36544"/>
    <x v="1"/>
    <x v="1"/>
    <s v="Mysuru"/>
    <x v="0"/>
    <x v="5"/>
    <s v="100000+"/>
    <x v="2"/>
    <s v="cold brew"/>
    <n v="2.5"/>
    <x v="0"/>
    <n v="1"/>
    <x v="0"/>
    <x v="0"/>
    <n v="1269"/>
    <s v="online"/>
    <x v="0"/>
    <x v="0"/>
    <x v="0"/>
  </r>
  <r>
    <n v="181"/>
    <n v="77098"/>
    <x v="3"/>
    <x v="1"/>
    <s v="Pune"/>
    <x v="4"/>
    <x v="5"/>
    <s v="30000-60000"/>
    <x v="0"/>
    <s v="espresso"/>
    <n v="0.6"/>
    <x v="0"/>
    <n v="1"/>
    <x v="1"/>
    <x v="1"/>
    <n v="565"/>
    <s v="supermarket"/>
    <x v="2"/>
    <x v="0"/>
    <x v="2"/>
  </r>
  <r>
    <n v="182"/>
    <n v="37588"/>
    <x v="1"/>
    <x v="1"/>
    <s v="Coimbatore"/>
    <x v="6"/>
    <x v="2"/>
    <s v="&lt;15000"/>
    <x v="0"/>
    <s v="filter"/>
    <n v="2.4"/>
    <x v="2"/>
    <n v="7"/>
    <x v="1"/>
    <x v="1"/>
    <n v="298"/>
    <s v="online"/>
    <x v="0"/>
    <x v="1"/>
    <x v="0"/>
  </r>
  <r>
    <n v="183"/>
    <n v="30494"/>
    <x v="1"/>
    <x v="1"/>
    <s v="Pune"/>
    <x v="4"/>
    <x v="6"/>
    <s v="100000+"/>
    <x v="2"/>
    <s v="cold brew"/>
    <n v="2.5"/>
    <x v="0"/>
    <n v="1"/>
    <x v="2"/>
    <x v="4"/>
    <n v="1452"/>
    <s v="supermarket"/>
    <x v="3"/>
    <x v="0"/>
    <x v="2"/>
  </r>
  <r>
    <n v="184"/>
    <n v="75361"/>
    <x v="3"/>
    <x v="1"/>
    <s v="Kochi"/>
    <x v="8"/>
    <x v="7"/>
    <s v="15000-30000"/>
    <x v="4"/>
    <s v="instant"/>
    <n v="2.2000000000000002"/>
    <x v="2"/>
    <n v="7"/>
    <x v="1"/>
    <x v="4"/>
    <n v="433"/>
    <s v="local store"/>
    <x v="0"/>
    <x v="1"/>
    <x v="2"/>
  </r>
  <r>
    <n v="185"/>
    <n v="44945"/>
    <x v="1"/>
    <x v="1"/>
    <s v="Nagpur"/>
    <x v="4"/>
    <x v="6"/>
    <s v="15000-30000"/>
    <x v="3"/>
    <s v="instant"/>
    <n v="2.2000000000000002"/>
    <x v="0"/>
    <n v="1"/>
    <x v="1"/>
    <x v="0"/>
    <n v="391"/>
    <s v="Cafa"/>
    <x v="3"/>
    <x v="1"/>
    <x v="2"/>
  </r>
  <r>
    <n v="186"/>
    <n v="61530"/>
    <x v="2"/>
    <x v="1"/>
    <s v="Hyderabad"/>
    <x v="1"/>
    <x v="8"/>
    <s v="60000-100000"/>
    <x v="2"/>
    <s v="instant"/>
    <n v="0.625"/>
    <x v="2"/>
    <n v="7"/>
    <x v="1"/>
    <x v="3"/>
    <n v="1117"/>
    <s v="supermarket"/>
    <x v="2"/>
    <x v="3"/>
    <x v="1"/>
  </r>
  <r>
    <n v="187"/>
    <n v="98420"/>
    <x v="0"/>
    <x v="1"/>
    <s v="Delhi"/>
    <x v="2"/>
    <x v="7"/>
    <s v="&lt;15000"/>
    <x v="4"/>
    <s v="instant"/>
    <n v="2.2000000000000002"/>
    <x v="0"/>
    <n v="1"/>
    <x v="0"/>
    <x v="1"/>
    <n v="374"/>
    <s v="online"/>
    <x v="0"/>
    <x v="3"/>
    <x v="1"/>
  </r>
  <r>
    <n v="188"/>
    <n v="91179"/>
    <x v="3"/>
    <x v="0"/>
    <s v="Pune"/>
    <x v="4"/>
    <x v="3"/>
    <s v="15000-30000"/>
    <x v="5"/>
    <s v="instant"/>
    <n v="1.1000000000000001"/>
    <x v="2"/>
    <n v="7"/>
    <x v="1"/>
    <x v="0"/>
    <n v="350"/>
    <s v="supermarket"/>
    <x v="1"/>
    <x v="3"/>
    <x v="2"/>
  </r>
  <r>
    <n v="189"/>
    <n v="10051"/>
    <x v="0"/>
    <x v="0"/>
    <s v="Vizag"/>
    <x v="7"/>
    <x v="6"/>
    <s v="&lt;15000"/>
    <x v="0"/>
    <s v="espresso"/>
    <n v="1.2"/>
    <x v="2"/>
    <n v="7"/>
    <x v="0"/>
    <x v="4"/>
    <n v="348"/>
    <s v="supermarket"/>
    <x v="1"/>
    <x v="3"/>
    <x v="0"/>
  </r>
  <r>
    <n v="190"/>
    <n v="89134"/>
    <x v="3"/>
    <x v="0"/>
    <s v="Jaipur"/>
    <x v="3"/>
    <x v="4"/>
    <s v="15000-30000"/>
    <x v="7"/>
    <s v="instant"/>
    <n v="0.75"/>
    <x v="2"/>
    <n v="7"/>
    <x v="0"/>
    <x v="1"/>
    <n v="312"/>
    <s v="supermarket"/>
    <x v="1"/>
    <x v="3"/>
    <x v="2"/>
  </r>
  <r>
    <n v="191"/>
    <n v="65739"/>
    <x v="0"/>
    <x v="1"/>
    <s v="Hyderabad"/>
    <x v="1"/>
    <x v="4"/>
    <s v="30000-60000"/>
    <x v="6"/>
    <s v="ready-to-drink"/>
    <n v="2.2000000000000002"/>
    <x v="2"/>
    <n v="7"/>
    <x v="2"/>
    <x v="1"/>
    <n v="500"/>
    <s v="local store"/>
    <x v="3"/>
    <x v="2"/>
    <x v="1"/>
  </r>
  <r>
    <n v="192"/>
    <n v="60029"/>
    <x v="1"/>
    <x v="1"/>
    <s v="Mysuru"/>
    <x v="0"/>
    <x v="8"/>
    <s v="100000+"/>
    <x v="0"/>
    <s v="filter"/>
    <n v="2.4"/>
    <x v="0"/>
    <n v="1"/>
    <x v="0"/>
    <x v="1"/>
    <n v="2476"/>
    <s v="Cafa"/>
    <x v="0"/>
    <x v="3"/>
    <x v="0"/>
  </r>
  <r>
    <n v="193"/>
    <n v="60797"/>
    <x v="2"/>
    <x v="0"/>
    <s v="Kolkata"/>
    <x v="5"/>
    <x v="1"/>
    <s v="30000-60000"/>
    <x v="2"/>
    <s v="filter"/>
    <n v="1.25"/>
    <x v="2"/>
    <n v="7"/>
    <x v="0"/>
    <x v="1"/>
    <n v="408"/>
    <s v="online"/>
    <x v="1"/>
    <x v="1"/>
    <x v="1"/>
  </r>
  <r>
    <n v="194"/>
    <n v="88989"/>
    <x v="2"/>
    <x v="1"/>
    <s v="Bengaluru"/>
    <x v="0"/>
    <x v="3"/>
    <s v="30000-60000"/>
    <x v="0"/>
    <s v="filter"/>
    <n v="2.4"/>
    <x v="1"/>
    <n v="3"/>
    <x v="0"/>
    <x v="5"/>
    <n v="818"/>
    <s v="local store"/>
    <x v="0"/>
    <x v="1"/>
    <x v="1"/>
  </r>
  <r>
    <n v="195"/>
    <n v="94266"/>
    <x v="1"/>
    <x v="1"/>
    <s v="Bengaluru"/>
    <x v="0"/>
    <x v="1"/>
    <s v="30000-60000"/>
    <x v="2"/>
    <s v="cold brew"/>
    <n v="1.25"/>
    <x v="2"/>
    <n v="7"/>
    <x v="0"/>
    <x v="2"/>
    <n v="521"/>
    <s v="online"/>
    <x v="1"/>
    <x v="2"/>
    <x v="1"/>
  </r>
  <r>
    <n v="196"/>
    <n v="99245"/>
    <x v="4"/>
    <x v="1"/>
    <s v="Bengaluru"/>
    <x v="0"/>
    <x v="7"/>
    <s v="30000-60000"/>
    <x v="0"/>
    <s v="filter"/>
    <n v="2.4"/>
    <x v="0"/>
    <n v="1"/>
    <x v="2"/>
    <x v="2"/>
    <n v="809"/>
    <s v="Cafa"/>
    <x v="0"/>
    <x v="0"/>
    <x v="1"/>
  </r>
  <r>
    <n v="197"/>
    <n v="84703"/>
    <x v="1"/>
    <x v="1"/>
    <s v="Nagpur"/>
    <x v="4"/>
    <x v="6"/>
    <s v="30000-60000"/>
    <x v="5"/>
    <s v="filter"/>
    <n v="2.2000000000000002"/>
    <x v="0"/>
    <n v="1"/>
    <x v="2"/>
    <x v="4"/>
    <n v="680"/>
    <s v="supermarket"/>
    <x v="3"/>
    <x v="0"/>
    <x v="2"/>
  </r>
  <r>
    <n v="198"/>
    <n v="18283"/>
    <x v="3"/>
    <x v="0"/>
    <s v="Pune"/>
    <x v="4"/>
    <x v="5"/>
    <s v="15000-30000"/>
    <x v="4"/>
    <s v="instant"/>
    <n v="0.55000000000000004"/>
    <x v="2"/>
    <n v="7"/>
    <x v="1"/>
    <x v="2"/>
    <n v="600"/>
    <s v="online"/>
    <x v="2"/>
    <x v="0"/>
    <x v="2"/>
  </r>
  <r>
    <n v="199"/>
    <n v="49156"/>
    <x v="2"/>
    <x v="0"/>
    <s v="Delhi"/>
    <x v="2"/>
    <x v="8"/>
    <s v="30000-60000"/>
    <x v="0"/>
    <s v="instant"/>
    <n v="2.4"/>
    <x v="0"/>
    <n v="1"/>
    <x v="0"/>
    <x v="0"/>
    <n v="560"/>
    <s v="online"/>
    <x v="0"/>
    <x v="0"/>
    <x v="1"/>
  </r>
  <r>
    <n v="200"/>
    <n v="19957"/>
    <x v="2"/>
    <x v="1"/>
    <s v="Nagpur"/>
    <x v="4"/>
    <x v="6"/>
    <s v="60000-100000"/>
    <x v="5"/>
    <s v="instant"/>
    <n v="2.2000000000000002"/>
    <x v="2"/>
    <n v="7"/>
    <x v="0"/>
    <x v="0"/>
    <n v="1387"/>
    <s v="local store"/>
    <x v="3"/>
    <x v="2"/>
    <x v="2"/>
  </r>
  <r>
    <n v="201"/>
    <n v="24340"/>
    <x v="1"/>
    <x v="0"/>
    <s v="Kolkata"/>
    <x v="5"/>
    <x v="7"/>
    <s v="15000-30000"/>
    <x v="2"/>
    <s v="cold brew"/>
    <n v="0.625"/>
    <x v="1"/>
    <n v="3"/>
    <x v="1"/>
    <x v="0"/>
    <n v="458"/>
    <s v="online"/>
    <x v="2"/>
    <x v="2"/>
    <x v="1"/>
  </r>
  <r>
    <n v="202"/>
    <n v="90010"/>
    <x v="1"/>
    <x v="1"/>
    <s v="Nagpur"/>
    <x v="4"/>
    <x v="7"/>
    <s v="60000-100000"/>
    <x v="2"/>
    <s v="cold brew"/>
    <n v="0.625"/>
    <x v="1"/>
    <n v="3"/>
    <x v="1"/>
    <x v="3"/>
    <n v="1327"/>
    <s v="local store"/>
    <x v="2"/>
    <x v="0"/>
    <x v="2"/>
  </r>
  <r>
    <n v="203"/>
    <n v="40723"/>
    <x v="2"/>
    <x v="0"/>
    <s v="Kolkata"/>
    <x v="5"/>
    <x v="3"/>
    <s v="15000-30000"/>
    <x v="7"/>
    <s v="instant"/>
    <n v="0.75"/>
    <x v="0"/>
    <n v="1"/>
    <x v="0"/>
    <x v="2"/>
    <n v="511"/>
    <s v="supermarket"/>
    <x v="1"/>
    <x v="3"/>
    <x v="1"/>
  </r>
  <r>
    <n v="204"/>
    <n v="12427"/>
    <x v="1"/>
    <x v="0"/>
    <s v="Ahmedabad"/>
    <x v="9"/>
    <x v="7"/>
    <s v="100000+"/>
    <x v="2"/>
    <s v="cold brew"/>
    <n v="2.5"/>
    <x v="2"/>
    <n v="7"/>
    <x v="1"/>
    <x v="3"/>
    <n v="1681"/>
    <s v="supermarket"/>
    <x v="0"/>
    <x v="1"/>
    <x v="2"/>
  </r>
  <r>
    <n v="205"/>
    <n v="44780"/>
    <x v="1"/>
    <x v="0"/>
    <s v="Mysuru"/>
    <x v="0"/>
    <x v="8"/>
    <s v="60000-100000"/>
    <x v="2"/>
    <s v="instant"/>
    <n v="2.5"/>
    <x v="2"/>
    <n v="7"/>
    <x v="0"/>
    <x v="2"/>
    <n v="1130"/>
    <s v="local store"/>
    <x v="3"/>
    <x v="2"/>
    <x v="0"/>
  </r>
  <r>
    <n v="206"/>
    <n v="55966"/>
    <x v="1"/>
    <x v="0"/>
    <s v="Indore"/>
    <x v="10"/>
    <x v="2"/>
    <s v="&lt;15000"/>
    <x v="7"/>
    <s v="instant"/>
    <n v="0.375"/>
    <x v="1"/>
    <n v="3"/>
    <x v="1"/>
    <x v="1"/>
    <n v="354"/>
    <s v="local store"/>
    <x v="2"/>
    <x v="0"/>
    <x v="0"/>
  </r>
  <r>
    <n v="207"/>
    <n v="69726"/>
    <x v="3"/>
    <x v="1"/>
    <s v="Nagpur"/>
    <x v="4"/>
    <x v="4"/>
    <s v="100000+"/>
    <x v="3"/>
    <s v="instant"/>
    <n v="1.1000000000000001"/>
    <x v="2"/>
    <n v="7"/>
    <x v="2"/>
    <x v="0"/>
    <n v="2452"/>
    <s v="supermarket"/>
    <x v="1"/>
    <x v="0"/>
    <x v="2"/>
  </r>
  <r>
    <n v="208"/>
    <n v="70645"/>
    <x v="0"/>
    <x v="0"/>
    <s v="Jaipur"/>
    <x v="3"/>
    <x v="9"/>
    <s v="&lt;15000"/>
    <x v="4"/>
    <s v="ready-to-drink"/>
    <n v="2.2000000000000002"/>
    <x v="2"/>
    <n v="7"/>
    <x v="2"/>
    <x v="5"/>
    <n v="328"/>
    <s v="online"/>
    <x v="3"/>
    <x v="3"/>
    <x v="2"/>
  </r>
  <r>
    <n v="209"/>
    <n v="31335"/>
    <x v="2"/>
    <x v="0"/>
    <s v="Indore"/>
    <x v="10"/>
    <x v="2"/>
    <s v="&lt;15000"/>
    <x v="5"/>
    <s v="instant"/>
    <n v="0.55000000000000004"/>
    <x v="2"/>
    <n v="7"/>
    <x v="2"/>
    <x v="1"/>
    <n v="246"/>
    <s v="Cafa"/>
    <x v="2"/>
    <x v="3"/>
    <x v="0"/>
  </r>
  <r>
    <n v="210"/>
    <n v="24617"/>
    <x v="2"/>
    <x v="0"/>
    <s v="Bengaluru"/>
    <x v="0"/>
    <x v="5"/>
    <s v="60000-100000"/>
    <x v="6"/>
    <s v="filter"/>
    <n v="0.55000000000000004"/>
    <x v="1"/>
    <n v="3"/>
    <x v="1"/>
    <x v="5"/>
    <n v="1074"/>
    <s v="online"/>
    <x v="2"/>
    <x v="0"/>
    <x v="1"/>
  </r>
  <r>
    <n v="211"/>
    <n v="38552"/>
    <x v="2"/>
    <x v="0"/>
    <s v="Kochi"/>
    <x v="8"/>
    <x v="4"/>
    <s v="100000+"/>
    <x v="0"/>
    <s v="filter"/>
    <n v="2.4"/>
    <x v="2"/>
    <n v="7"/>
    <x v="2"/>
    <x v="3"/>
    <n v="2121"/>
    <s v="supermarket"/>
    <x v="3"/>
    <x v="1"/>
    <x v="2"/>
  </r>
  <r>
    <n v="212"/>
    <n v="82132"/>
    <x v="2"/>
    <x v="0"/>
    <s v="Mumbai"/>
    <x v="4"/>
    <x v="8"/>
    <s v="30000-60000"/>
    <x v="4"/>
    <s v="instant"/>
    <n v="2.2000000000000002"/>
    <x v="0"/>
    <n v="1"/>
    <x v="0"/>
    <x v="0"/>
    <n v="672"/>
    <s v="local store"/>
    <x v="0"/>
    <x v="0"/>
    <x v="1"/>
  </r>
  <r>
    <n v="213"/>
    <n v="40603"/>
    <x v="4"/>
    <x v="0"/>
    <s v="Delhi"/>
    <x v="2"/>
    <x v="6"/>
    <s v="15000-30000"/>
    <x v="1"/>
    <s v="instant"/>
    <n v="2"/>
    <x v="2"/>
    <n v="7"/>
    <x v="0"/>
    <x v="1"/>
    <n v="339"/>
    <s v="local store"/>
    <x v="0"/>
    <x v="1"/>
    <x v="1"/>
  </r>
  <r>
    <n v="214"/>
    <n v="93368"/>
    <x v="2"/>
    <x v="0"/>
    <s v="Mysuru"/>
    <x v="0"/>
    <x v="3"/>
    <s v="60000-100000"/>
    <x v="1"/>
    <s v="instant"/>
    <n v="2"/>
    <x v="2"/>
    <n v="7"/>
    <x v="1"/>
    <x v="5"/>
    <n v="816"/>
    <s v="local store"/>
    <x v="0"/>
    <x v="0"/>
    <x v="0"/>
  </r>
  <r>
    <n v="215"/>
    <n v="44831"/>
    <x v="2"/>
    <x v="1"/>
    <s v="Mumbai"/>
    <x v="4"/>
    <x v="9"/>
    <s v="&lt;15000"/>
    <x v="7"/>
    <s v="instant"/>
    <n v="1.5"/>
    <x v="2"/>
    <n v="7"/>
    <x v="0"/>
    <x v="3"/>
    <n v="319"/>
    <s v="local store"/>
    <x v="3"/>
    <x v="1"/>
    <x v="1"/>
  </r>
  <r>
    <n v="216"/>
    <n v="63575"/>
    <x v="1"/>
    <x v="0"/>
    <s v="Chennai"/>
    <x v="6"/>
    <x v="0"/>
    <s v="30000-60000"/>
    <x v="2"/>
    <s v="cold brew"/>
    <n v="2.5"/>
    <x v="0"/>
    <n v="1"/>
    <x v="0"/>
    <x v="2"/>
    <n v="878"/>
    <s v="supermarket"/>
    <x v="3"/>
    <x v="0"/>
    <x v="1"/>
  </r>
  <r>
    <n v="217"/>
    <n v="81283"/>
    <x v="0"/>
    <x v="1"/>
    <s v="Mysuru"/>
    <x v="0"/>
    <x v="4"/>
    <s v="30000-60000"/>
    <x v="3"/>
    <s v="cold brew"/>
    <n v="2.2000000000000002"/>
    <x v="2"/>
    <n v="7"/>
    <x v="1"/>
    <x v="4"/>
    <n v="689"/>
    <s v="local store"/>
    <x v="3"/>
    <x v="0"/>
    <x v="0"/>
  </r>
  <r>
    <n v="218"/>
    <n v="96633"/>
    <x v="1"/>
    <x v="0"/>
    <s v="Kochi"/>
    <x v="8"/>
    <x v="6"/>
    <s v="30000-60000"/>
    <x v="2"/>
    <s v="cold brew"/>
    <n v="1.25"/>
    <x v="2"/>
    <n v="7"/>
    <x v="0"/>
    <x v="4"/>
    <n v="875"/>
    <s v="local store"/>
    <x v="1"/>
    <x v="1"/>
    <x v="2"/>
  </r>
  <r>
    <n v="219"/>
    <n v="48517"/>
    <x v="0"/>
    <x v="0"/>
    <s v="Pune"/>
    <x v="4"/>
    <x v="4"/>
    <s v="&lt;15000"/>
    <x v="0"/>
    <s v="instant"/>
    <n v="1.2"/>
    <x v="1"/>
    <n v="3"/>
    <x v="0"/>
    <x v="2"/>
    <n v="152"/>
    <s v="Cafa"/>
    <x v="1"/>
    <x v="0"/>
    <x v="2"/>
  </r>
  <r>
    <n v="220"/>
    <n v="96883"/>
    <x v="4"/>
    <x v="0"/>
    <s v="Delhi"/>
    <x v="2"/>
    <x v="4"/>
    <s v="30000-60000"/>
    <x v="5"/>
    <s v="instant"/>
    <n v="2.2000000000000002"/>
    <x v="2"/>
    <n v="7"/>
    <x v="2"/>
    <x v="0"/>
    <n v="850"/>
    <s v="local store"/>
    <x v="0"/>
    <x v="1"/>
    <x v="1"/>
  </r>
  <r>
    <n v="221"/>
    <n v="24612"/>
    <x v="0"/>
    <x v="0"/>
    <s v="Ahmedabad"/>
    <x v="9"/>
    <x v="6"/>
    <s v="&lt;15000"/>
    <x v="1"/>
    <s v="filter"/>
    <n v="2"/>
    <x v="0"/>
    <n v="1"/>
    <x v="0"/>
    <x v="4"/>
    <n v="329"/>
    <s v="online"/>
    <x v="3"/>
    <x v="2"/>
    <x v="2"/>
  </r>
  <r>
    <n v="222"/>
    <n v="65003"/>
    <x v="4"/>
    <x v="0"/>
    <s v="Chennai"/>
    <x v="6"/>
    <x v="3"/>
    <s v="15000-30000"/>
    <x v="4"/>
    <s v="instant"/>
    <n v="1.1000000000000001"/>
    <x v="2"/>
    <n v="7"/>
    <x v="1"/>
    <x v="0"/>
    <n v="264"/>
    <s v="local store"/>
    <x v="1"/>
    <x v="1"/>
    <x v="1"/>
  </r>
  <r>
    <n v="223"/>
    <n v="81069"/>
    <x v="2"/>
    <x v="0"/>
    <s v="Vizag"/>
    <x v="7"/>
    <x v="1"/>
    <s v="60000-100000"/>
    <x v="2"/>
    <s v="instant"/>
    <n v="0.625"/>
    <x v="1"/>
    <n v="3"/>
    <x v="1"/>
    <x v="2"/>
    <n v="1322"/>
    <s v="local store"/>
    <x v="2"/>
    <x v="1"/>
    <x v="0"/>
  </r>
  <r>
    <n v="224"/>
    <n v="77917"/>
    <x v="3"/>
    <x v="1"/>
    <s v="Bengaluru"/>
    <x v="0"/>
    <x v="4"/>
    <s v="&lt;15000"/>
    <x v="6"/>
    <s v="instant"/>
    <n v="2.2000000000000002"/>
    <x v="2"/>
    <n v="7"/>
    <x v="0"/>
    <x v="0"/>
    <n v="220"/>
    <s v="supermarket"/>
    <x v="0"/>
    <x v="0"/>
    <x v="1"/>
  </r>
  <r>
    <n v="225"/>
    <n v="99809"/>
    <x v="2"/>
    <x v="1"/>
    <s v="Pune"/>
    <x v="4"/>
    <x v="9"/>
    <s v="&lt;15000"/>
    <x v="4"/>
    <s v="instant"/>
    <n v="0.55000000000000004"/>
    <x v="1"/>
    <n v="3"/>
    <x v="0"/>
    <x v="4"/>
    <n v="152"/>
    <s v="supermarket"/>
    <x v="2"/>
    <x v="1"/>
    <x v="2"/>
  </r>
  <r>
    <n v="226"/>
    <n v="58305"/>
    <x v="2"/>
    <x v="0"/>
    <s v="Bengaluru"/>
    <x v="0"/>
    <x v="1"/>
    <s v="15000-30000"/>
    <x v="5"/>
    <s v="instant"/>
    <n v="0.55000000000000004"/>
    <x v="2"/>
    <n v="7"/>
    <x v="0"/>
    <x v="0"/>
    <n v="470"/>
    <s v="Cafa"/>
    <x v="2"/>
    <x v="2"/>
    <x v="1"/>
  </r>
  <r>
    <n v="227"/>
    <n v="21916"/>
    <x v="1"/>
    <x v="0"/>
    <s v="Coimbatore"/>
    <x v="6"/>
    <x v="7"/>
    <s v="60000-100000"/>
    <x v="5"/>
    <s v="instant"/>
    <n v="2.2000000000000002"/>
    <x v="0"/>
    <n v="1"/>
    <x v="0"/>
    <x v="1"/>
    <n v="1007"/>
    <s v="online"/>
    <x v="3"/>
    <x v="1"/>
    <x v="0"/>
  </r>
  <r>
    <n v="228"/>
    <n v="13818"/>
    <x v="0"/>
    <x v="0"/>
    <s v="Mumbai"/>
    <x v="4"/>
    <x v="7"/>
    <s v="&lt;15000"/>
    <x v="7"/>
    <s v="cold brew"/>
    <n v="0.75"/>
    <x v="1"/>
    <n v="3"/>
    <x v="1"/>
    <x v="0"/>
    <n v="189"/>
    <s v="online"/>
    <x v="1"/>
    <x v="1"/>
    <x v="1"/>
  </r>
  <r>
    <n v="229"/>
    <n v="25608"/>
    <x v="2"/>
    <x v="1"/>
    <s v="Coimbatore"/>
    <x v="6"/>
    <x v="8"/>
    <s v="&lt;15000"/>
    <x v="4"/>
    <s v="instant"/>
    <n v="0.55000000000000004"/>
    <x v="0"/>
    <n v="1"/>
    <x v="2"/>
    <x v="4"/>
    <n v="319"/>
    <s v="supermarket"/>
    <x v="2"/>
    <x v="3"/>
    <x v="0"/>
  </r>
  <r>
    <n v="230"/>
    <n v="65735"/>
    <x v="2"/>
    <x v="0"/>
    <s v="Mumbai"/>
    <x v="4"/>
    <x v="7"/>
    <s v="15000-30000"/>
    <x v="7"/>
    <s v="instant"/>
    <n v="0.75"/>
    <x v="1"/>
    <n v="3"/>
    <x v="0"/>
    <x v="1"/>
    <n v="567"/>
    <s v="online"/>
    <x v="1"/>
    <x v="1"/>
    <x v="1"/>
  </r>
  <r>
    <n v="231"/>
    <n v="69395"/>
    <x v="3"/>
    <x v="0"/>
    <s v="Ahmedabad"/>
    <x v="9"/>
    <x v="9"/>
    <s v="60000-100000"/>
    <x v="2"/>
    <s v="ready-to-drink"/>
    <n v="0.625"/>
    <x v="2"/>
    <n v="7"/>
    <x v="0"/>
    <x v="1"/>
    <n v="1240"/>
    <s v="Cafa"/>
    <x v="2"/>
    <x v="1"/>
    <x v="2"/>
  </r>
  <r>
    <n v="232"/>
    <n v="11510"/>
    <x v="2"/>
    <x v="0"/>
    <s v="Pune"/>
    <x v="4"/>
    <x v="9"/>
    <s v="&lt;15000"/>
    <x v="4"/>
    <s v="cold brew"/>
    <n v="2.2000000000000002"/>
    <x v="2"/>
    <n v="7"/>
    <x v="0"/>
    <x v="5"/>
    <n v="217"/>
    <s v="local store"/>
    <x v="0"/>
    <x v="0"/>
    <x v="2"/>
  </r>
  <r>
    <n v="233"/>
    <n v="30443"/>
    <x v="1"/>
    <x v="1"/>
    <s v="Jaipur"/>
    <x v="3"/>
    <x v="6"/>
    <s v="30000-60000"/>
    <x v="2"/>
    <s v="cold brew"/>
    <n v="0.625"/>
    <x v="2"/>
    <n v="7"/>
    <x v="0"/>
    <x v="5"/>
    <n v="442"/>
    <s v="online"/>
    <x v="2"/>
    <x v="3"/>
    <x v="2"/>
  </r>
  <r>
    <n v="234"/>
    <n v="63240"/>
    <x v="1"/>
    <x v="0"/>
    <s v="Kochi"/>
    <x v="8"/>
    <x v="8"/>
    <s v="30000-60000"/>
    <x v="7"/>
    <s v="instant"/>
    <n v="0.375"/>
    <x v="2"/>
    <n v="7"/>
    <x v="0"/>
    <x v="1"/>
    <n v="791"/>
    <s v="supermarket"/>
    <x v="2"/>
    <x v="2"/>
    <x v="2"/>
  </r>
  <r>
    <n v="235"/>
    <n v="57589"/>
    <x v="2"/>
    <x v="0"/>
    <s v="Kochi"/>
    <x v="8"/>
    <x v="0"/>
    <s v="&lt;15000"/>
    <x v="0"/>
    <s v="filter"/>
    <n v="1.2"/>
    <x v="1"/>
    <n v="3"/>
    <x v="1"/>
    <x v="2"/>
    <n v="321"/>
    <s v="supermarket"/>
    <x v="1"/>
    <x v="0"/>
    <x v="2"/>
  </r>
  <r>
    <n v="236"/>
    <n v="59007"/>
    <x v="3"/>
    <x v="1"/>
    <s v="Mumbai"/>
    <x v="4"/>
    <x v="7"/>
    <s v="100000+"/>
    <x v="2"/>
    <s v="instant"/>
    <n v="1.25"/>
    <x v="0"/>
    <n v="1"/>
    <x v="0"/>
    <x v="1"/>
    <n v="2304"/>
    <s v="online"/>
    <x v="1"/>
    <x v="1"/>
    <x v="1"/>
  </r>
  <r>
    <n v="237"/>
    <n v="56923"/>
    <x v="4"/>
    <x v="1"/>
    <s v="Delhi"/>
    <x v="2"/>
    <x v="4"/>
    <s v="30000-60000"/>
    <x v="6"/>
    <s v="instant"/>
    <n v="2.2000000000000002"/>
    <x v="2"/>
    <n v="7"/>
    <x v="1"/>
    <x v="1"/>
    <n v="665"/>
    <s v="local store"/>
    <x v="0"/>
    <x v="1"/>
    <x v="1"/>
  </r>
  <r>
    <n v="238"/>
    <n v="47682"/>
    <x v="0"/>
    <x v="1"/>
    <s v="Mysuru"/>
    <x v="0"/>
    <x v="2"/>
    <s v="30000-60000"/>
    <x v="5"/>
    <s v="instant"/>
    <n v="2.2000000000000002"/>
    <x v="2"/>
    <n v="7"/>
    <x v="0"/>
    <x v="2"/>
    <n v="648"/>
    <s v="Cafa"/>
    <x v="0"/>
    <x v="1"/>
    <x v="0"/>
  </r>
  <r>
    <n v="239"/>
    <n v="53293"/>
    <x v="0"/>
    <x v="1"/>
    <s v="Nagpur"/>
    <x v="4"/>
    <x v="5"/>
    <s v="15000-30000"/>
    <x v="7"/>
    <s v="espresso"/>
    <n v="0.75"/>
    <x v="2"/>
    <n v="7"/>
    <x v="2"/>
    <x v="0"/>
    <n v="516"/>
    <s v="local store"/>
    <x v="1"/>
    <x v="2"/>
    <x v="2"/>
  </r>
  <r>
    <n v="240"/>
    <n v="86658"/>
    <x v="3"/>
    <x v="0"/>
    <s v="Nagpur"/>
    <x v="4"/>
    <x v="5"/>
    <s v="30000-60000"/>
    <x v="4"/>
    <s v="instant"/>
    <n v="1.1000000000000001"/>
    <x v="2"/>
    <n v="7"/>
    <x v="1"/>
    <x v="4"/>
    <n v="465"/>
    <s v="supermarket"/>
    <x v="1"/>
    <x v="0"/>
    <x v="2"/>
  </r>
  <r>
    <n v="241"/>
    <n v="96866"/>
    <x v="2"/>
    <x v="0"/>
    <s v="Vizag"/>
    <x v="7"/>
    <x v="2"/>
    <s v="15000-30000"/>
    <x v="4"/>
    <s v="cold brew"/>
    <n v="0.55000000000000004"/>
    <x v="1"/>
    <n v="3"/>
    <x v="0"/>
    <x v="1"/>
    <n v="266"/>
    <s v="Cafa"/>
    <x v="2"/>
    <x v="3"/>
    <x v="0"/>
  </r>
  <r>
    <n v="242"/>
    <n v="37882"/>
    <x v="0"/>
    <x v="1"/>
    <s v="Chennai"/>
    <x v="6"/>
    <x v="7"/>
    <s v="100000+"/>
    <x v="0"/>
    <s v="filter"/>
    <n v="2.4"/>
    <x v="2"/>
    <n v="7"/>
    <x v="0"/>
    <x v="0"/>
    <n v="1238"/>
    <s v="supermarket"/>
    <x v="3"/>
    <x v="1"/>
    <x v="1"/>
  </r>
  <r>
    <n v="243"/>
    <n v="56689"/>
    <x v="0"/>
    <x v="0"/>
    <s v="Kochi"/>
    <x v="8"/>
    <x v="8"/>
    <s v="30000-60000"/>
    <x v="1"/>
    <s v="cold brew"/>
    <n v="0.5"/>
    <x v="1"/>
    <n v="3"/>
    <x v="2"/>
    <x v="1"/>
    <n v="880"/>
    <s v="Cafa"/>
    <x v="2"/>
    <x v="3"/>
    <x v="2"/>
  </r>
  <r>
    <n v="244"/>
    <n v="23939"/>
    <x v="1"/>
    <x v="0"/>
    <s v="Mumbai"/>
    <x v="4"/>
    <x v="5"/>
    <s v="30000-60000"/>
    <x v="1"/>
    <s v="filter"/>
    <n v="1"/>
    <x v="2"/>
    <n v="7"/>
    <x v="0"/>
    <x v="0"/>
    <n v="647"/>
    <s v="Cafa"/>
    <x v="1"/>
    <x v="2"/>
    <x v="1"/>
  </r>
  <r>
    <n v="245"/>
    <n v="62266"/>
    <x v="3"/>
    <x v="0"/>
    <s v="Indore"/>
    <x v="10"/>
    <x v="2"/>
    <s v="30000-60000"/>
    <x v="2"/>
    <s v="espresso"/>
    <n v="2.5"/>
    <x v="1"/>
    <n v="3"/>
    <x v="0"/>
    <x v="1"/>
    <n v="677"/>
    <s v="local store"/>
    <x v="0"/>
    <x v="0"/>
    <x v="0"/>
  </r>
  <r>
    <n v="246"/>
    <n v="15422"/>
    <x v="2"/>
    <x v="0"/>
    <s v="Delhi"/>
    <x v="2"/>
    <x v="4"/>
    <s v="30000-60000"/>
    <x v="5"/>
    <s v="espresso"/>
    <n v="0.55000000000000004"/>
    <x v="2"/>
    <n v="7"/>
    <x v="0"/>
    <x v="1"/>
    <n v="457"/>
    <s v="local store"/>
    <x v="2"/>
    <x v="3"/>
    <x v="1"/>
  </r>
  <r>
    <n v="247"/>
    <n v="93977"/>
    <x v="3"/>
    <x v="0"/>
    <s v="Chennai"/>
    <x v="6"/>
    <x v="1"/>
    <s v="60000-100000"/>
    <x v="4"/>
    <s v="cold brew"/>
    <n v="2.2000000000000002"/>
    <x v="2"/>
    <n v="7"/>
    <x v="0"/>
    <x v="1"/>
    <n v="1438"/>
    <s v="online"/>
    <x v="3"/>
    <x v="1"/>
    <x v="1"/>
  </r>
  <r>
    <n v="248"/>
    <n v="37884"/>
    <x v="0"/>
    <x v="0"/>
    <s v="Indore"/>
    <x v="10"/>
    <x v="7"/>
    <s v="15000-30000"/>
    <x v="2"/>
    <s v="instant"/>
    <n v="2.5"/>
    <x v="2"/>
    <n v="7"/>
    <x v="0"/>
    <x v="0"/>
    <n v="580"/>
    <s v="local store"/>
    <x v="3"/>
    <x v="1"/>
    <x v="0"/>
  </r>
  <r>
    <n v="249"/>
    <n v="80669"/>
    <x v="2"/>
    <x v="0"/>
    <s v="Ahmedabad"/>
    <x v="9"/>
    <x v="3"/>
    <s v="15000-30000"/>
    <x v="2"/>
    <s v="instant"/>
    <n v="1.25"/>
    <x v="2"/>
    <n v="7"/>
    <x v="0"/>
    <x v="1"/>
    <n v="276"/>
    <s v="local store"/>
    <x v="1"/>
    <x v="1"/>
    <x v="2"/>
  </r>
  <r>
    <n v="250"/>
    <n v="93422"/>
    <x v="1"/>
    <x v="1"/>
    <s v="Mumbai"/>
    <x v="4"/>
    <x v="3"/>
    <s v="15000-30000"/>
    <x v="2"/>
    <s v="cold brew"/>
    <n v="0.625"/>
    <x v="2"/>
    <n v="7"/>
    <x v="1"/>
    <x v="4"/>
    <n v="313"/>
    <s v="Cafa"/>
    <x v="2"/>
    <x v="3"/>
    <x v="1"/>
  </r>
  <r>
    <n v="251"/>
    <n v="58333"/>
    <x v="3"/>
    <x v="0"/>
    <s v="Bengaluru"/>
    <x v="0"/>
    <x v="5"/>
    <s v="15000-30000"/>
    <x v="6"/>
    <s v="cold brew"/>
    <n v="0.55000000000000004"/>
    <x v="0"/>
    <n v="1"/>
    <x v="0"/>
    <x v="1"/>
    <n v="304"/>
    <s v="online"/>
    <x v="2"/>
    <x v="3"/>
    <x v="1"/>
  </r>
  <r>
    <n v="252"/>
    <n v="81522"/>
    <x v="4"/>
    <x v="1"/>
    <s v="Chennai"/>
    <x v="6"/>
    <x v="5"/>
    <s v="30000-60000"/>
    <x v="7"/>
    <s v="filter"/>
    <n v="1.5"/>
    <x v="0"/>
    <n v="1"/>
    <x v="1"/>
    <x v="1"/>
    <n v="497"/>
    <s v="local store"/>
    <x v="3"/>
    <x v="3"/>
    <x v="1"/>
  </r>
  <r>
    <n v="253"/>
    <n v="75977"/>
    <x v="2"/>
    <x v="1"/>
    <s v="Jaipur"/>
    <x v="3"/>
    <x v="8"/>
    <s v="60000-100000"/>
    <x v="7"/>
    <s v="instant"/>
    <n v="1.5"/>
    <x v="2"/>
    <n v="7"/>
    <x v="1"/>
    <x v="2"/>
    <n v="1294"/>
    <s v="supermarket"/>
    <x v="0"/>
    <x v="0"/>
    <x v="2"/>
  </r>
  <r>
    <n v="254"/>
    <n v="84617"/>
    <x v="4"/>
    <x v="1"/>
    <s v="Indore"/>
    <x v="10"/>
    <x v="1"/>
    <s v="30000-60000"/>
    <x v="7"/>
    <s v="instant"/>
    <n v="1.5"/>
    <x v="2"/>
    <n v="7"/>
    <x v="0"/>
    <x v="1"/>
    <n v="540"/>
    <s v="local store"/>
    <x v="0"/>
    <x v="2"/>
    <x v="0"/>
  </r>
  <r>
    <n v="255"/>
    <n v="18843"/>
    <x v="3"/>
    <x v="1"/>
    <s v="Mysuru"/>
    <x v="0"/>
    <x v="6"/>
    <s v="&lt;15000"/>
    <x v="3"/>
    <s v="instant"/>
    <n v="0.55000000000000004"/>
    <x v="2"/>
    <n v="7"/>
    <x v="2"/>
    <x v="1"/>
    <n v="185"/>
    <s v="Cafa"/>
    <x v="2"/>
    <x v="1"/>
    <x v="0"/>
  </r>
  <r>
    <n v="256"/>
    <n v="55077"/>
    <x v="2"/>
    <x v="0"/>
    <s v="Indore"/>
    <x v="10"/>
    <x v="0"/>
    <s v="&lt;15000"/>
    <x v="2"/>
    <s v="filter"/>
    <n v="0.625"/>
    <x v="2"/>
    <n v="7"/>
    <x v="1"/>
    <x v="0"/>
    <n v="278"/>
    <s v="local store"/>
    <x v="2"/>
    <x v="0"/>
    <x v="0"/>
  </r>
  <r>
    <n v="257"/>
    <n v="27846"/>
    <x v="0"/>
    <x v="1"/>
    <s v="Hyderabad"/>
    <x v="1"/>
    <x v="1"/>
    <s v="30000-60000"/>
    <x v="6"/>
    <s v="filter"/>
    <n v="0.55000000000000004"/>
    <x v="2"/>
    <n v="7"/>
    <x v="2"/>
    <x v="4"/>
    <n v="423"/>
    <s v="Cafa"/>
    <x v="2"/>
    <x v="3"/>
    <x v="1"/>
  </r>
  <r>
    <n v="258"/>
    <n v="86422"/>
    <x v="1"/>
    <x v="1"/>
    <s v="Bengaluru"/>
    <x v="0"/>
    <x v="9"/>
    <s v="30000-60000"/>
    <x v="5"/>
    <s v="filter"/>
    <n v="0.55000000000000004"/>
    <x v="2"/>
    <n v="7"/>
    <x v="1"/>
    <x v="4"/>
    <n v="569"/>
    <s v="local store"/>
    <x v="2"/>
    <x v="2"/>
    <x v="1"/>
  </r>
  <r>
    <n v="259"/>
    <n v="13132"/>
    <x v="1"/>
    <x v="0"/>
    <s v="Nagpur"/>
    <x v="4"/>
    <x v="4"/>
    <s v="60000-100000"/>
    <x v="7"/>
    <s v="instant"/>
    <n v="0.375"/>
    <x v="1"/>
    <n v="3"/>
    <x v="0"/>
    <x v="0"/>
    <n v="1473"/>
    <s v="supermarket"/>
    <x v="2"/>
    <x v="0"/>
    <x v="2"/>
  </r>
  <r>
    <n v="260"/>
    <n v="87749"/>
    <x v="0"/>
    <x v="0"/>
    <s v="Vizag"/>
    <x v="7"/>
    <x v="5"/>
    <s v="15000-30000"/>
    <x v="6"/>
    <s v="instant"/>
    <n v="2.2000000000000002"/>
    <x v="2"/>
    <n v="7"/>
    <x v="1"/>
    <x v="0"/>
    <n v="387"/>
    <s v="supermarket"/>
    <x v="0"/>
    <x v="3"/>
    <x v="0"/>
  </r>
  <r>
    <n v="261"/>
    <n v="68974"/>
    <x v="0"/>
    <x v="1"/>
    <s v="Kochi"/>
    <x v="8"/>
    <x v="0"/>
    <s v="&lt;15000"/>
    <x v="0"/>
    <s v="filter"/>
    <n v="1.2"/>
    <x v="1"/>
    <n v="3"/>
    <x v="1"/>
    <x v="5"/>
    <n v="168"/>
    <s v="Cafa"/>
    <x v="1"/>
    <x v="2"/>
    <x v="2"/>
  </r>
  <r>
    <n v="262"/>
    <n v="13233"/>
    <x v="0"/>
    <x v="0"/>
    <s v="Vizag"/>
    <x v="7"/>
    <x v="5"/>
    <s v="30000-60000"/>
    <x v="4"/>
    <s v="instant"/>
    <n v="2.2000000000000002"/>
    <x v="2"/>
    <n v="7"/>
    <x v="1"/>
    <x v="2"/>
    <n v="803"/>
    <s v="local store"/>
    <x v="0"/>
    <x v="3"/>
    <x v="0"/>
  </r>
  <r>
    <n v="263"/>
    <n v="37575"/>
    <x v="2"/>
    <x v="0"/>
    <s v="Pune"/>
    <x v="4"/>
    <x v="0"/>
    <s v="100000+"/>
    <x v="6"/>
    <s v="instant"/>
    <n v="2.2000000000000002"/>
    <x v="2"/>
    <n v="7"/>
    <x v="0"/>
    <x v="1"/>
    <n v="1902"/>
    <s v="Cafa"/>
    <x v="0"/>
    <x v="3"/>
    <x v="2"/>
  </r>
  <r>
    <n v="264"/>
    <n v="73959"/>
    <x v="1"/>
    <x v="1"/>
    <s v="Kochi"/>
    <x v="8"/>
    <x v="0"/>
    <s v="&lt;15000"/>
    <x v="2"/>
    <s v="cold brew"/>
    <n v="2.5"/>
    <x v="0"/>
    <n v="1"/>
    <x v="0"/>
    <x v="1"/>
    <n v="169"/>
    <s v="Cafa"/>
    <x v="3"/>
    <x v="3"/>
    <x v="2"/>
  </r>
  <r>
    <n v="265"/>
    <n v="47615"/>
    <x v="2"/>
    <x v="1"/>
    <s v="Mysuru"/>
    <x v="0"/>
    <x v="2"/>
    <s v="60000-100000"/>
    <x v="6"/>
    <s v="ready-to-drink"/>
    <n v="0.55000000000000004"/>
    <x v="2"/>
    <n v="7"/>
    <x v="1"/>
    <x v="4"/>
    <n v="1057"/>
    <s v="online"/>
    <x v="2"/>
    <x v="0"/>
    <x v="0"/>
  </r>
  <r>
    <n v="266"/>
    <n v="11669"/>
    <x v="2"/>
    <x v="1"/>
    <s v="Kolkata"/>
    <x v="5"/>
    <x v="3"/>
    <s v="&lt;15000"/>
    <x v="1"/>
    <s v="filter"/>
    <n v="2"/>
    <x v="0"/>
    <n v="1"/>
    <x v="0"/>
    <x v="2"/>
    <n v="218"/>
    <s v="local store"/>
    <x v="0"/>
    <x v="1"/>
    <x v="1"/>
  </r>
  <r>
    <n v="267"/>
    <n v="99757"/>
    <x v="2"/>
    <x v="1"/>
    <s v="Mysuru"/>
    <x v="0"/>
    <x v="9"/>
    <s v="15000-30000"/>
    <x v="3"/>
    <s v="ready-to-drink"/>
    <n v="0.55000000000000004"/>
    <x v="2"/>
    <n v="7"/>
    <x v="0"/>
    <x v="5"/>
    <n v="447"/>
    <s v="Cafa"/>
    <x v="2"/>
    <x v="3"/>
    <x v="0"/>
  </r>
  <r>
    <n v="268"/>
    <n v="90790"/>
    <x v="2"/>
    <x v="1"/>
    <s v="Mumbai"/>
    <x v="4"/>
    <x v="2"/>
    <s v="60000-100000"/>
    <x v="0"/>
    <s v="instant"/>
    <n v="2.4"/>
    <x v="2"/>
    <n v="7"/>
    <x v="0"/>
    <x v="1"/>
    <n v="1275"/>
    <s v="local store"/>
    <x v="3"/>
    <x v="3"/>
    <x v="1"/>
  </r>
  <r>
    <n v="269"/>
    <n v="15342"/>
    <x v="2"/>
    <x v="1"/>
    <s v="Mumbai"/>
    <x v="4"/>
    <x v="6"/>
    <s v="30000-60000"/>
    <x v="6"/>
    <s v="cold brew"/>
    <n v="0.55000000000000004"/>
    <x v="2"/>
    <n v="7"/>
    <x v="2"/>
    <x v="5"/>
    <n v="506"/>
    <s v="local store"/>
    <x v="2"/>
    <x v="2"/>
    <x v="1"/>
  </r>
  <r>
    <n v="270"/>
    <n v="91979"/>
    <x v="3"/>
    <x v="1"/>
    <s v="Mumbai"/>
    <x v="4"/>
    <x v="6"/>
    <s v="30000-60000"/>
    <x v="1"/>
    <s v="instant"/>
    <n v="2"/>
    <x v="2"/>
    <n v="7"/>
    <x v="0"/>
    <x v="1"/>
    <n v="634"/>
    <s v="Cafa"/>
    <x v="0"/>
    <x v="0"/>
    <x v="1"/>
  </r>
  <r>
    <n v="271"/>
    <n v="42638"/>
    <x v="3"/>
    <x v="0"/>
    <s v="Pune"/>
    <x v="4"/>
    <x v="0"/>
    <s v="30000-60000"/>
    <x v="6"/>
    <s v="instant"/>
    <n v="2.2000000000000002"/>
    <x v="1"/>
    <n v="3"/>
    <x v="1"/>
    <x v="0"/>
    <n v="634"/>
    <s v="supermarket"/>
    <x v="3"/>
    <x v="1"/>
    <x v="2"/>
  </r>
  <r>
    <n v="272"/>
    <n v="75713"/>
    <x v="0"/>
    <x v="0"/>
    <s v="Coimbatore"/>
    <x v="6"/>
    <x v="9"/>
    <s v="60000-100000"/>
    <x v="1"/>
    <s v="instant"/>
    <n v="2"/>
    <x v="2"/>
    <n v="7"/>
    <x v="2"/>
    <x v="1"/>
    <n v="1211"/>
    <s v="online"/>
    <x v="3"/>
    <x v="3"/>
    <x v="0"/>
  </r>
  <r>
    <n v="273"/>
    <n v="26406"/>
    <x v="4"/>
    <x v="0"/>
    <s v="Vizag"/>
    <x v="7"/>
    <x v="8"/>
    <s v="30000-60000"/>
    <x v="6"/>
    <s v="cold brew"/>
    <n v="2.2000000000000002"/>
    <x v="2"/>
    <n v="7"/>
    <x v="1"/>
    <x v="0"/>
    <n v="889"/>
    <s v="supermarket"/>
    <x v="0"/>
    <x v="1"/>
    <x v="0"/>
  </r>
  <r>
    <n v="274"/>
    <n v="96085"/>
    <x v="0"/>
    <x v="1"/>
    <s v="Jaipur"/>
    <x v="3"/>
    <x v="9"/>
    <s v="&lt;15000"/>
    <x v="2"/>
    <s v="filter"/>
    <n v="2.5"/>
    <x v="1"/>
    <n v="3"/>
    <x v="1"/>
    <x v="0"/>
    <n v="379"/>
    <s v="supermarket"/>
    <x v="3"/>
    <x v="2"/>
    <x v="2"/>
  </r>
  <r>
    <n v="275"/>
    <n v="43868"/>
    <x v="0"/>
    <x v="1"/>
    <s v="Mumbai"/>
    <x v="4"/>
    <x v="0"/>
    <s v="30000-60000"/>
    <x v="7"/>
    <s v="instant"/>
    <n v="1.5"/>
    <x v="1"/>
    <n v="3"/>
    <x v="1"/>
    <x v="4"/>
    <n v="822"/>
    <s v="supermarket"/>
    <x v="0"/>
    <x v="1"/>
    <x v="1"/>
  </r>
  <r>
    <n v="276"/>
    <n v="78311"/>
    <x v="0"/>
    <x v="1"/>
    <s v="Pune"/>
    <x v="4"/>
    <x v="4"/>
    <s v="60000-100000"/>
    <x v="1"/>
    <s v="instant"/>
    <n v="1"/>
    <x v="2"/>
    <n v="7"/>
    <x v="1"/>
    <x v="3"/>
    <n v="918"/>
    <s v="online"/>
    <x v="1"/>
    <x v="2"/>
    <x v="2"/>
  </r>
  <r>
    <n v="277"/>
    <n v="55640"/>
    <x v="3"/>
    <x v="0"/>
    <s v="Bengaluru"/>
    <x v="0"/>
    <x v="1"/>
    <s v="15000-30000"/>
    <x v="6"/>
    <s v="filter"/>
    <n v="2.2000000000000002"/>
    <x v="2"/>
    <n v="7"/>
    <x v="1"/>
    <x v="1"/>
    <n v="562"/>
    <s v="Cafa"/>
    <x v="0"/>
    <x v="1"/>
    <x v="1"/>
  </r>
  <r>
    <n v="278"/>
    <n v="71566"/>
    <x v="2"/>
    <x v="1"/>
    <s v="Vizag"/>
    <x v="7"/>
    <x v="6"/>
    <s v="60000-100000"/>
    <x v="3"/>
    <s v="instant"/>
    <n v="2.2000000000000002"/>
    <x v="0"/>
    <n v="1"/>
    <x v="1"/>
    <x v="2"/>
    <n v="1447"/>
    <s v="supermarket"/>
    <x v="3"/>
    <x v="3"/>
    <x v="0"/>
  </r>
  <r>
    <n v="279"/>
    <n v="52130"/>
    <x v="2"/>
    <x v="1"/>
    <s v="Mumbai"/>
    <x v="4"/>
    <x v="1"/>
    <s v="&lt;15000"/>
    <x v="2"/>
    <s v="instant"/>
    <n v="2.5"/>
    <x v="0"/>
    <n v="1"/>
    <x v="0"/>
    <x v="0"/>
    <n v="178"/>
    <s v="online"/>
    <x v="0"/>
    <x v="3"/>
    <x v="1"/>
  </r>
  <r>
    <n v="280"/>
    <n v="52048"/>
    <x v="1"/>
    <x v="0"/>
    <s v="Chennai"/>
    <x v="6"/>
    <x v="0"/>
    <s v="30000-60000"/>
    <x v="2"/>
    <s v="cold brew"/>
    <n v="2.5"/>
    <x v="1"/>
    <n v="3"/>
    <x v="0"/>
    <x v="0"/>
    <n v="445"/>
    <s v="online"/>
    <x v="3"/>
    <x v="0"/>
    <x v="1"/>
  </r>
  <r>
    <n v="281"/>
    <n v="56390"/>
    <x v="1"/>
    <x v="1"/>
    <s v="Hyderabad"/>
    <x v="1"/>
    <x v="8"/>
    <s v="30000-60000"/>
    <x v="2"/>
    <s v="cold brew"/>
    <n v="0.625"/>
    <x v="2"/>
    <n v="7"/>
    <x v="0"/>
    <x v="0"/>
    <n v="836"/>
    <s v="supermarket"/>
    <x v="2"/>
    <x v="2"/>
    <x v="1"/>
  </r>
  <r>
    <n v="282"/>
    <n v="60088"/>
    <x v="2"/>
    <x v="1"/>
    <s v="Mumbai"/>
    <x v="4"/>
    <x v="6"/>
    <s v="60000-100000"/>
    <x v="7"/>
    <s v="cold brew"/>
    <n v="1.5"/>
    <x v="2"/>
    <n v="7"/>
    <x v="1"/>
    <x v="1"/>
    <n v="915"/>
    <s v="supermarket"/>
    <x v="3"/>
    <x v="2"/>
    <x v="1"/>
  </r>
  <r>
    <n v="283"/>
    <n v="83011"/>
    <x v="0"/>
    <x v="1"/>
    <s v="Mumbai"/>
    <x v="4"/>
    <x v="4"/>
    <s v="100000+"/>
    <x v="4"/>
    <s v="cold brew"/>
    <n v="2.2000000000000002"/>
    <x v="2"/>
    <n v="7"/>
    <x v="0"/>
    <x v="0"/>
    <n v="1588"/>
    <s v="online"/>
    <x v="0"/>
    <x v="0"/>
    <x v="1"/>
  </r>
  <r>
    <n v="284"/>
    <n v="27034"/>
    <x v="3"/>
    <x v="1"/>
    <s v="Hyderabad"/>
    <x v="1"/>
    <x v="0"/>
    <s v="100000+"/>
    <x v="4"/>
    <s v="ready-to-drink"/>
    <n v="1.1000000000000001"/>
    <x v="2"/>
    <n v="7"/>
    <x v="1"/>
    <x v="0"/>
    <n v="2743"/>
    <s v="local store"/>
    <x v="1"/>
    <x v="0"/>
    <x v="1"/>
  </r>
  <r>
    <n v="285"/>
    <n v="58079"/>
    <x v="0"/>
    <x v="0"/>
    <s v="Pune"/>
    <x v="4"/>
    <x v="7"/>
    <s v="60000-100000"/>
    <x v="5"/>
    <s v="cold brew"/>
    <n v="1.1000000000000001"/>
    <x v="2"/>
    <n v="7"/>
    <x v="0"/>
    <x v="1"/>
    <n v="1235"/>
    <s v="supermarket"/>
    <x v="1"/>
    <x v="1"/>
    <x v="2"/>
  </r>
  <r>
    <n v="286"/>
    <n v="77420"/>
    <x v="3"/>
    <x v="1"/>
    <s v="Jaipur"/>
    <x v="3"/>
    <x v="6"/>
    <s v="30000-60000"/>
    <x v="7"/>
    <s v="instant"/>
    <n v="0.75"/>
    <x v="2"/>
    <n v="7"/>
    <x v="1"/>
    <x v="4"/>
    <n v="689"/>
    <s v="Cafa"/>
    <x v="1"/>
    <x v="0"/>
    <x v="2"/>
  </r>
  <r>
    <n v="287"/>
    <n v="71020"/>
    <x v="3"/>
    <x v="1"/>
    <s v="Mysuru"/>
    <x v="0"/>
    <x v="4"/>
    <s v="15000-30000"/>
    <x v="4"/>
    <s v="ready-to-drink"/>
    <n v="2.2000000000000002"/>
    <x v="2"/>
    <n v="7"/>
    <x v="1"/>
    <x v="1"/>
    <n v="502"/>
    <s v="Cafa"/>
    <x v="0"/>
    <x v="3"/>
    <x v="0"/>
  </r>
  <r>
    <n v="288"/>
    <n v="58294"/>
    <x v="2"/>
    <x v="1"/>
    <s v="Kolkata"/>
    <x v="5"/>
    <x v="4"/>
    <s v="15000-30000"/>
    <x v="1"/>
    <s v="espresso"/>
    <n v="0.5"/>
    <x v="0"/>
    <n v="1"/>
    <x v="0"/>
    <x v="5"/>
    <n v="343"/>
    <s v="Cafa"/>
    <x v="2"/>
    <x v="1"/>
    <x v="1"/>
  </r>
  <r>
    <n v="289"/>
    <n v="48483"/>
    <x v="1"/>
    <x v="1"/>
    <s v="Bengaluru"/>
    <x v="0"/>
    <x v="8"/>
    <s v="30000-60000"/>
    <x v="2"/>
    <s v="cold brew"/>
    <n v="1.25"/>
    <x v="2"/>
    <n v="7"/>
    <x v="2"/>
    <x v="1"/>
    <n v="454"/>
    <s v="Cafa"/>
    <x v="1"/>
    <x v="1"/>
    <x v="1"/>
  </r>
  <r>
    <n v="290"/>
    <n v="69438"/>
    <x v="1"/>
    <x v="1"/>
    <s v="Ahmedabad"/>
    <x v="9"/>
    <x v="1"/>
    <s v="60000-100000"/>
    <x v="6"/>
    <s v="instant"/>
    <n v="0.55000000000000004"/>
    <x v="2"/>
    <n v="7"/>
    <x v="0"/>
    <x v="1"/>
    <n v="1108"/>
    <s v="Cafa"/>
    <x v="2"/>
    <x v="0"/>
    <x v="2"/>
  </r>
  <r>
    <n v="291"/>
    <n v="63860"/>
    <x v="1"/>
    <x v="0"/>
    <s v="Jaipur"/>
    <x v="3"/>
    <x v="0"/>
    <s v="15000-30000"/>
    <x v="2"/>
    <s v="cold brew"/>
    <n v="1.25"/>
    <x v="2"/>
    <n v="7"/>
    <x v="2"/>
    <x v="2"/>
    <n v="464"/>
    <s v="online"/>
    <x v="1"/>
    <x v="1"/>
    <x v="2"/>
  </r>
  <r>
    <n v="292"/>
    <n v="31798"/>
    <x v="2"/>
    <x v="0"/>
    <s v="Indore"/>
    <x v="10"/>
    <x v="9"/>
    <s v="&lt;15000"/>
    <x v="3"/>
    <s v="filter"/>
    <n v="2.2000000000000002"/>
    <x v="2"/>
    <n v="7"/>
    <x v="0"/>
    <x v="3"/>
    <n v="389"/>
    <s v="supermarket"/>
    <x v="3"/>
    <x v="1"/>
    <x v="0"/>
  </r>
  <r>
    <n v="293"/>
    <n v="10455"/>
    <x v="3"/>
    <x v="0"/>
    <s v="Bengaluru"/>
    <x v="0"/>
    <x v="5"/>
    <s v="60000-100000"/>
    <x v="3"/>
    <s v="espresso"/>
    <n v="2.2000000000000002"/>
    <x v="2"/>
    <n v="7"/>
    <x v="2"/>
    <x v="0"/>
    <n v="1041"/>
    <s v="Cafa"/>
    <x v="0"/>
    <x v="2"/>
    <x v="1"/>
  </r>
  <r>
    <n v="294"/>
    <n v="10122"/>
    <x v="3"/>
    <x v="0"/>
    <s v="Delhi"/>
    <x v="2"/>
    <x v="6"/>
    <s v="15000-30000"/>
    <x v="4"/>
    <s v="instant"/>
    <n v="0.55000000000000004"/>
    <x v="2"/>
    <n v="7"/>
    <x v="1"/>
    <x v="5"/>
    <n v="448"/>
    <s v="supermarket"/>
    <x v="2"/>
    <x v="0"/>
    <x v="1"/>
  </r>
  <r>
    <n v="295"/>
    <n v="45146"/>
    <x v="1"/>
    <x v="1"/>
    <s v="Kolkata"/>
    <x v="5"/>
    <x v="7"/>
    <s v="30000-60000"/>
    <x v="2"/>
    <s v="cold brew"/>
    <n v="1.25"/>
    <x v="0"/>
    <n v="1"/>
    <x v="0"/>
    <x v="1"/>
    <n v="559"/>
    <s v="local store"/>
    <x v="1"/>
    <x v="3"/>
    <x v="1"/>
  </r>
  <r>
    <n v="296"/>
    <n v="53162"/>
    <x v="2"/>
    <x v="1"/>
    <s v="Bengaluru"/>
    <x v="0"/>
    <x v="5"/>
    <s v="15000-30000"/>
    <x v="0"/>
    <s v="filter"/>
    <n v="2.4"/>
    <x v="2"/>
    <n v="7"/>
    <x v="0"/>
    <x v="1"/>
    <n v="349"/>
    <s v="Cafa"/>
    <x v="0"/>
    <x v="2"/>
    <x v="1"/>
  </r>
  <r>
    <n v="297"/>
    <n v="37502"/>
    <x v="1"/>
    <x v="1"/>
    <s v="Jaipur"/>
    <x v="3"/>
    <x v="7"/>
    <s v="30000-60000"/>
    <x v="1"/>
    <s v="instant"/>
    <n v="0.5"/>
    <x v="0"/>
    <n v="1"/>
    <x v="0"/>
    <x v="0"/>
    <n v="809"/>
    <s v="online"/>
    <x v="2"/>
    <x v="1"/>
    <x v="2"/>
  </r>
  <r>
    <n v="298"/>
    <n v="48436"/>
    <x v="0"/>
    <x v="1"/>
    <s v="Mumbai"/>
    <x v="4"/>
    <x v="9"/>
    <s v="60000-100000"/>
    <x v="4"/>
    <s v="ready-to-drink"/>
    <n v="2.2000000000000002"/>
    <x v="2"/>
    <n v="7"/>
    <x v="0"/>
    <x v="2"/>
    <n v="1366"/>
    <s v="local store"/>
    <x v="0"/>
    <x v="0"/>
    <x v="1"/>
  </r>
  <r>
    <n v="299"/>
    <n v="84204"/>
    <x v="3"/>
    <x v="1"/>
    <s v="Vizag"/>
    <x v="7"/>
    <x v="9"/>
    <s v="&lt;15000"/>
    <x v="0"/>
    <s v="instant"/>
    <n v="1.2"/>
    <x v="2"/>
    <n v="7"/>
    <x v="2"/>
    <x v="0"/>
    <n v="282"/>
    <s v="Cafa"/>
    <x v="1"/>
    <x v="1"/>
    <x v="0"/>
  </r>
  <r>
    <n v="300"/>
    <n v="20367"/>
    <x v="1"/>
    <x v="1"/>
    <s v="Mumbai"/>
    <x v="4"/>
    <x v="3"/>
    <s v="60000-100000"/>
    <x v="2"/>
    <s v="filter"/>
    <n v="0.625"/>
    <x v="2"/>
    <n v="7"/>
    <x v="2"/>
    <x v="3"/>
    <n v="1181"/>
    <s v="online"/>
    <x v="2"/>
    <x v="3"/>
    <x v="1"/>
  </r>
  <r>
    <n v="301"/>
    <n v="12690"/>
    <x v="0"/>
    <x v="1"/>
    <s v="Bengaluru"/>
    <x v="0"/>
    <x v="9"/>
    <s v="30000-60000"/>
    <x v="0"/>
    <s v="filter"/>
    <n v="0.6"/>
    <x v="2"/>
    <n v="7"/>
    <x v="1"/>
    <x v="1"/>
    <n v="635"/>
    <s v="Cafa"/>
    <x v="2"/>
    <x v="3"/>
    <x v="1"/>
  </r>
  <r>
    <n v="302"/>
    <n v="33209"/>
    <x v="0"/>
    <x v="1"/>
    <s v="Hyderabad"/>
    <x v="1"/>
    <x v="2"/>
    <s v="15000-30000"/>
    <x v="3"/>
    <s v="instant"/>
    <n v="2.2000000000000002"/>
    <x v="1"/>
    <n v="3"/>
    <x v="0"/>
    <x v="0"/>
    <n v="301"/>
    <s v="supermarket"/>
    <x v="0"/>
    <x v="1"/>
    <x v="1"/>
  </r>
  <r>
    <n v="303"/>
    <n v="16421"/>
    <x v="1"/>
    <x v="1"/>
    <s v="Nagpur"/>
    <x v="4"/>
    <x v="3"/>
    <s v="15000-30000"/>
    <x v="3"/>
    <s v="cold brew"/>
    <n v="0.55000000000000004"/>
    <x v="0"/>
    <n v="1"/>
    <x v="0"/>
    <x v="1"/>
    <n v="344"/>
    <s v="local store"/>
    <x v="2"/>
    <x v="3"/>
    <x v="2"/>
  </r>
  <r>
    <n v="304"/>
    <n v="31507"/>
    <x v="0"/>
    <x v="0"/>
    <s v="Jaipur"/>
    <x v="3"/>
    <x v="6"/>
    <s v="15000-30000"/>
    <x v="5"/>
    <s v="instant"/>
    <n v="2.2000000000000002"/>
    <x v="2"/>
    <n v="7"/>
    <x v="1"/>
    <x v="5"/>
    <n v="293"/>
    <s v="local store"/>
    <x v="0"/>
    <x v="3"/>
    <x v="2"/>
  </r>
  <r>
    <n v="305"/>
    <n v="96902"/>
    <x v="1"/>
    <x v="1"/>
    <s v="Kochi"/>
    <x v="8"/>
    <x v="9"/>
    <s v="15000-30000"/>
    <x v="2"/>
    <s v="ready-to-drink"/>
    <n v="0.625"/>
    <x v="2"/>
    <n v="7"/>
    <x v="1"/>
    <x v="1"/>
    <n v="500"/>
    <s v="online"/>
    <x v="2"/>
    <x v="0"/>
    <x v="2"/>
  </r>
  <r>
    <n v="306"/>
    <n v="91471"/>
    <x v="4"/>
    <x v="0"/>
    <s v="Bengaluru"/>
    <x v="0"/>
    <x v="9"/>
    <s v="15000-30000"/>
    <x v="0"/>
    <s v="espresso"/>
    <n v="0.6"/>
    <x v="2"/>
    <n v="7"/>
    <x v="0"/>
    <x v="0"/>
    <n v="540"/>
    <s v="local store"/>
    <x v="2"/>
    <x v="2"/>
    <x v="1"/>
  </r>
  <r>
    <n v="307"/>
    <n v="97833"/>
    <x v="2"/>
    <x v="0"/>
    <s v="Kolkata"/>
    <x v="5"/>
    <x v="8"/>
    <s v="&lt;15000"/>
    <x v="3"/>
    <s v="instant"/>
    <n v="2.2000000000000002"/>
    <x v="2"/>
    <n v="7"/>
    <x v="2"/>
    <x v="5"/>
    <n v="387"/>
    <s v="local store"/>
    <x v="3"/>
    <x v="1"/>
    <x v="1"/>
  </r>
  <r>
    <n v="308"/>
    <n v="13454"/>
    <x v="2"/>
    <x v="0"/>
    <s v="Coimbatore"/>
    <x v="6"/>
    <x v="6"/>
    <s v="60000-100000"/>
    <x v="0"/>
    <s v="filter"/>
    <n v="2.4"/>
    <x v="2"/>
    <n v="7"/>
    <x v="1"/>
    <x v="1"/>
    <n v="1369"/>
    <s v="local store"/>
    <x v="3"/>
    <x v="3"/>
    <x v="0"/>
  </r>
  <r>
    <n v="309"/>
    <n v="43786"/>
    <x v="0"/>
    <x v="1"/>
    <s v="Chennai"/>
    <x v="6"/>
    <x v="0"/>
    <s v="15000-30000"/>
    <x v="3"/>
    <s v="instant"/>
    <n v="1.1000000000000001"/>
    <x v="0"/>
    <n v="1"/>
    <x v="2"/>
    <x v="1"/>
    <n v="360"/>
    <s v="local store"/>
    <x v="1"/>
    <x v="3"/>
    <x v="1"/>
  </r>
  <r>
    <n v="310"/>
    <n v="10223"/>
    <x v="1"/>
    <x v="1"/>
    <s v="Vizag"/>
    <x v="7"/>
    <x v="2"/>
    <s v="30000-60000"/>
    <x v="2"/>
    <s v="cold brew"/>
    <n v="1.25"/>
    <x v="0"/>
    <n v="1"/>
    <x v="0"/>
    <x v="4"/>
    <n v="700"/>
    <s v="local store"/>
    <x v="1"/>
    <x v="1"/>
    <x v="0"/>
  </r>
  <r>
    <n v="311"/>
    <n v="62645"/>
    <x v="3"/>
    <x v="0"/>
    <s v="Bengaluru"/>
    <x v="0"/>
    <x v="7"/>
    <s v="30000-60000"/>
    <x v="0"/>
    <s v="filter"/>
    <n v="0.6"/>
    <x v="0"/>
    <n v="1"/>
    <x v="1"/>
    <x v="5"/>
    <n v="779"/>
    <s v="local store"/>
    <x v="2"/>
    <x v="1"/>
    <x v="1"/>
  </r>
  <r>
    <n v="312"/>
    <n v="63903"/>
    <x v="0"/>
    <x v="1"/>
    <s v="Bengaluru"/>
    <x v="0"/>
    <x v="1"/>
    <s v="&lt;15000"/>
    <x v="1"/>
    <s v="instant"/>
    <n v="0.5"/>
    <x v="2"/>
    <n v="7"/>
    <x v="2"/>
    <x v="3"/>
    <n v="186"/>
    <s v="local store"/>
    <x v="2"/>
    <x v="2"/>
    <x v="1"/>
  </r>
  <r>
    <n v="313"/>
    <n v="45855"/>
    <x v="4"/>
    <x v="0"/>
    <s v="Vizag"/>
    <x v="7"/>
    <x v="0"/>
    <s v="&lt;15000"/>
    <x v="6"/>
    <s v="instant"/>
    <n v="2.2000000000000002"/>
    <x v="1"/>
    <n v="3"/>
    <x v="0"/>
    <x v="0"/>
    <n v="397"/>
    <s v="local store"/>
    <x v="0"/>
    <x v="3"/>
    <x v="0"/>
  </r>
  <r>
    <n v="314"/>
    <n v="87363"/>
    <x v="1"/>
    <x v="1"/>
    <s v="Kolkata"/>
    <x v="5"/>
    <x v="0"/>
    <s v="15000-30000"/>
    <x v="2"/>
    <s v="instant"/>
    <n v="0.625"/>
    <x v="1"/>
    <n v="3"/>
    <x v="0"/>
    <x v="1"/>
    <n v="443"/>
    <s v="online"/>
    <x v="2"/>
    <x v="2"/>
    <x v="1"/>
  </r>
  <r>
    <n v="315"/>
    <n v="83187"/>
    <x v="1"/>
    <x v="0"/>
    <s v="Nagpur"/>
    <x v="4"/>
    <x v="6"/>
    <s v="30000-60000"/>
    <x v="1"/>
    <s v="instant"/>
    <n v="0.5"/>
    <x v="0"/>
    <n v="1"/>
    <x v="2"/>
    <x v="0"/>
    <n v="597"/>
    <s v="local store"/>
    <x v="2"/>
    <x v="3"/>
    <x v="2"/>
  </r>
  <r>
    <n v="316"/>
    <n v="76366"/>
    <x v="0"/>
    <x v="0"/>
    <s v="Vizag"/>
    <x v="7"/>
    <x v="2"/>
    <s v="15000-30000"/>
    <x v="7"/>
    <s v="espresso"/>
    <n v="1.5"/>
    <x v="1"/>
    <n v="3"/>
    <x v="2"/>
    <x v="1"/>
    <n v="340"/>
    <s v="online"/>
    <x v="3"/>
    <x v="0"/>
    <x v="0"/>
  </r>
  <r>
    <n v="317"/>
    <n v="82726"/>
    <x v="3"/>
    <x v="1"/>
    <s v="Vizag"/>
    <x v="7"/>
    <x v="4"/>
    <s v="30000-60000"/>
    <x v="1"/>
    <s v="cold brew"/>
    <n v="2"/>
    <x v="1"/>
    <n v="3"/>
    <x v="2"/>
    <x v="1"/>
    <n v="614"/>
    <s v="Cafa"/>
    <x v="3"/>
    <x v="2"/>
    <x v="0"/>
  </r>
  <r>
    <n v="318"/>
    <n v="95196"/>
    <x v="3"/>
    <x v="1"/>
    <s v="Jaipur"/>
    <x v="3"/>
    <x v="1"/>
    <s v="15000-30000"/>
    <x v="2"/>
    <s v="instant"/>
    <n v="0.625"/>
    <x v="2"/>
    <n v="7"/>
    <x v="1"/>
    <x v="0"/>
    <n v="491"/>
    <s v="Cafa"/>
    <x v="2"/>
    <x v="2"/>
    <x v="2"/>
  </r>
  <r>
    <n v="319"/>
    <n v="73510"/>
    <x v="2"/>
    <x v="1"/>
    <s v="Ahmedabad"/>
    <x v="9"/>
    <x v="7"/>
    <s v="&lt;15000"/>
    <x v="4"/>
    <s v="instant"/>
    <n v="1.1000000000000001"/>
    <x v="1"/>
    <n v="3"/>
    <x v="1"/>
    <x v="3"/>
    <n v="280"/>
    <s v="local store"/>
    <x v="1"/>
    <x v="1"/>
    <x v="2"/>
  </r>
  <r>
    <n v="320"/>
    <n v="32962"/>
    <x v="0"/>
    <x v="0"/>
    <s v="Kochi"/>
    <x v="8"/>
    <x v="2"/>
    <s v="30000-60000"/>
    <x v="2"/>
    <s v="ready-to-drink"/>
    <n v="2.5"/>
    <x v="2"/>
    <n v="7"/>
    <x v="0"/>
    <x v="1"/>
    <n v="482"/>
    <s v="supermarket"/>
    <x v="0"/>
    <x v="0"/>
    <x v="2"/>
  </r>
  <r>
    <n v="321"/>
    <n v="44227"/>
    <x v="1"/>
    <x v="0"/>
    <s v="Mumbai"/>
    <x v="4"/>
    <x v="0"/>
    <s v="30000-60000"/>
    <x v="2"/>
    <s v="cold brew"/>
    <n v="1.25"/>
    <x v="2"/>
    <n v="7"/>
    <x v="0"/>
    <x v="1"/>
    <n v="459"/>
    <s v="online"/>
    <x v="1"/>
    <x v="0"/>
    <x v="1"/>
  </r>
  <r>
    <n v="322"/>
    <n v="51840"/>
    <x v="2"/>
    <x v="1"/>
    <s v="Kochi"/>
    <x v="8"/>
    <x v="6"/>
    <s v="30000-60000"/>
    <x v="2"/>
    <s v="instant"/>
    <n v="0.625"/>
    <x v="2"/>
    <n v="7"/>
    <x v="2"/>
    <x v="4"/>
    <n v="819"/>
    <s v="supermarket"/>
    <x v="2"/>
    <x v="2"/>
    <x v="2"/>
  </r>
  <r>
    <n v="323"/>
    <n v="94151"/>
    <x v="2"/>
    <x v="0"/>
    <s v="Mysuru"/>
    <x v="0"/>
    <x v="9"/>
    <s v="30000-60000"/>
    <x v="0"/>
    <s v="filter"/>
    <n v="2.4"/>
    <x v="1"/>
    <n v="3"/>
    <x v="1"/>
    <x v="1"/>
    <n v="642"/>
    <s v="online"/>
    <x v="0"/>
    <x v="0"/>
    <x v="0"/>
  </r>
  <r>
    <n v="324"/>
    <n v="88395"/>
    <x v="2"/>
    <x v="0"/>
    <s v="Jaipur"/>
    <x v="3"/>
    <x v="7"/>
    <s v="&lt;15000"/>
    <x v="2"/>
    <s v="instant"/>
    <n v="0.625"/>
    <x v="2"/>
    <n v="7"/>
    <x v="0"/>
    <x v="1"/>
    <n v="370"/>
    <s v="supermarket"/>
    <x v="2"/>
    <x v="3"/>
    <x v="2"/>
  </r>
  <r>
    <n v="325"/>
    <n v="74388"/>
    <x v="2"/>
    <x v="0"/>
    <s v="Mysuru"/>
    <x v="0"/>
    <x v="3"/>
    <s v="60000-100000"/>
    <x v="0"/>
    <s v="filter"/>
    <n v="2.4"/>
    <x v="2"/>
    <n v="7"/>
    <x v="2"/>
    <x v="4"/>
    <n v="1201"/>
    <s v="Cafa"/>
    <x v="3"/>
    <x v="0"/>
    <x v="0"/>
  </r>
  <r>
    <n v="326"/>
    <n v="26402"/>
    <x v="1"/>
    <x v="0"/>
    <s v="Mysuru"/>
    <x v="0"/>
    <x v="7"/>
    <s v="100000+"/>
    <x v="2"/>
    <s v="cold brew"/>
    <n v="0.625"/>
    <x v="2"/>
    <n v="7"/>
    <x v="0"/>
    <x v="4"/>
    <n v="1328"/>
    <s v="local store"/>
    <x v="2"/>
    <x v="3"/>
    <x v="0"/>
  </r>
  <r>
    <n v="327"/>
    <n v="53347"/>
    <x v="3"/>
    <x v="1"/>
    <s v="Vizag"/>
    <x v="7"/>
    <x v="5"/>
    <s v="15000-30000"/>
    <x v="7"/>
    <s v="espresso"/>
    <n v="0.375"/>
    <x v="2"/>
    <n v="7"/>
    <x v="0"/>
    <x v="0"/>
    <n v="544"/>
    <s v="Cafa"/>
    <x v="2"/>
    <x v="3"/>
    <x v="0"/>
  </r>
  <r>
    <n v="328"/>
    <n v="46923"/>
    <x v="0"/>
    <x v="0"/>
    <s v="Vizag"/>
    <x v="7"/>
    <x v="9"/>
    <s v="30000-60000"/>
    <x v="6"/>
    <s v="instant"/>
    <n v="2.2000000000000002"/>
    <x v="0"/>
    <n v="1"/>
    <x v="0"/>
    <x v="1"/>
    <n v="697"/>
    <s v="supermarket"/>
    <x v="3"/>
    <x v="2"/>
    <x v="0"/>
  </r>
  <r>
    <n v="329"/>
    <n v="81823"/>
    <x v="0"/>
    <x v="0"/>
    <s v="Delhi"/>
    <x v="2"/>
    <x v="4"/>
    <s v="60000-100000"/>
    <x v="5"/>
    <s v="instant"/>
    <n v="2.2000000000000002"/>
    <x v="2"/>
    <n v="7"/>
    <x v="0"/>
    <x v="1"/>
    <n v="1368"/>
    <s v="online"/>
    <x v="0"/>
    <x v="2"/>
    <x v="1"/>
  </r>
  <r>
    <n v="330"/>
    <n v="16803"/>
    <x v="4"/>
    <x v="1"/>
    <s v="Vizag"/>
    <x v="7"/>
    <x v="0"/>
    <s v="60000-100000"/>
    <x v="7"/>
    <s v="instant"/>
    <n v="0.375"/>
    <x v="2"/>
    <n v="7"/>
    <x v="2"/>
    <x v="2"/>
    <n v="852"/>
    <s v="local store"/>
    <x v="2"/>
    <x v="0"/>
    <x v="0"/>
  </r>
  <r>
    <n v="331"/>
    <n v="86504"/>
    <x v="4"/>
    <x v="1"/>
    <s v="Pune"/>
    <x v="4"/>
    <x v="2"/>
    <s v="&lt;15000"/>
    <x v="2"/>
    <s v="instant"/>
    <n v="1.25"/>
    <x v="2"/>
    <n v="7"/>
    <x v="0"/>
    <x v="2"/>
    <n v="157"/>
    <s v="local store"/>
    <x v="1"/>
    <x v="0"/>
    <x v="2"/>
  </r>
  <r>
    <n v="332"/>
    <n v="56983"/>
    <x v="3"/>
    <x v="0"/>
    <s v="Jaipur"/>
    <x v="3"/>
    <x v="0"/>
    <s v="30000-60000"/>
    <x v="4"/>
    <s v="instant"/>
    <n v="0.55000000000000004"/>
    <x v="2"/>
    <n v="7"/>
    <x v="1"/>
    <x v="0"/>
    <n v="739"/>
    <s v="local store"/>
    <x v="2"/>
    <x v="2"/>
    <x v="2"/>
  </r>
  <r>
    <n v="333"/>
    <n v="37672"/>
    <x v="1"/>
    <x v="0"/>
    <s v="Ahmedabad"/>
    <x v="9"/>
    <x v="2"/>
    <s v="15000-30000"/>
    <x v="5"/>
    <s v="ready-to-drink"/>
    <n v="0.55000000000000004"/>
    <x v="2"/>
    <n v="7"/>
    <x v="1"/>
    <x v="0"/>
    <n v="582"/>
    <s v="local store"/>
    <x v="2"/>
    <x v="2"/>
    <x v="2"/>
  </r>
  <r>
    <n v="334"/>
    <n v="50860"/>
    <x v="1"/>
    <x v="0"/>
    <s v="Ahmedabad"/>
    <x v="9"/>
    <x v="4"/>
    <s v="&lt;15000"/>
    <x v="0"/>
    <s v="instant"/>
    <n v="2.4"/>
    <x v="0"/>
    <n v="1"/>
    <x v="2"/>
    <x v="1"/>
    <n v="203"/>
    <s v="online"/>
    <x v="0"/>
    <x v="3"/>
    <x v="2"/>
  </r>
  <r>
    <n v="335"/>
    <n v="68356"/>
    <x v="1"/>
    <x v="0"/>
    <s v="Ahmedabad"/>
    <x v="9"/>
    <x v="3"/>
    <s v="60000-100000"/>
    <x v="4"/>
    <s v="instant"/>
    <n v="2.2000000000000002"/>
    <x v="1"/>
    <n v="3"/>
    <x v="2"/>
    <x v="2"/>
    <n v="922"/>
    <s v="Cafa"/>
    <x v="0"/>
    <x v="0"/>
    <x v="2"/>
  </r>
  <r>
    <n v="336"/>
    <n v="70616"/>
    <x v="0"/>
    <x v="1"/>
    <s v="Vizag"/>
    <x v="7"/>
    <x v="7"/>
    <s v="100000+"/>
    <x v="7"/>
    <s v="instant"/>
    <n v="0.375"/>
    <x v="1"/>
    <n v="3"/>
    <x v="0"/>
    <x v="0"/>
    <n v="1479"/>
    <s v="supermarket"/>
    <x v="2"/>
    <x v="3"/>
    <x v="0"/>
  </r>
  <r>
    <n v="337"/>
    <n v="50209"/>
    <x v="4"/>
    <x v="1"/>
    <s v="Coimbatore"/>
    <x v="6"/>
    <x v="4"/>
    <s v="30000-60000"/>
    <x v="2"/>
    <s v="instant"/>
    <n v="2.5"/>
    <x v="2"/>
    <n v="7"/>
    <x v="0"/>
    <x v="0"/>
    <n v="756"/>
    <s v="online"/>
    <x v="0"/>
    <x v="1"/>
    <x v="0"/>
  </r>
  <r>
    <n v="338"/>
    <n v="62711"/>
    <x v="0"/>
    <x v="0"/>
    <s v="Indore"/>
    <x v="10"/>
    <x v="7"/>
    <s v="15000-30000"/>
    <x v="1"/>
    <s v="instant"/>
    <n v="0.5"/>
    <x v="0"/>
    <n v="1"/>
    <x v="0"/>
    <x v="2"/>
    <n v="442"/>
    <s v="Cafa"/>
    <x v="2"/>
    <x v="0"/>
    <x v="0"/>
  </r>
  <r>
    <n v="339"/>
    <n v="14269"/>
    <x v="1"/>
    <x v="0"/>
    <s v="Kochi"/>
    <x v="8"/>
    <x v="2"/>
    <s v="60000-100000"/>
    <x v="0"/>
    <s v="filter"/>
    <n v="2.4"/>
    <x v="2"/>
    <n v="7"/>
    <x v="1"/>
    <x v="1"/>
    <n v="1404"/>
    <s v="online"/>
    <x v="3"/>
    <x v="3"/>
    <x v="2"/>
  </r>
  <r>
    <n v="340"/>
    <n v="88599"/>
    <x v="0"/>
    <x v="0"/>
    <s v="Vizag"/>
    <x v="7"/>
    <x v="1"/>
    <s v="15000-30000"/>
    <x v="3"/>
    <s v="instant"/>
    <n v="0.55000000000000004"/>
    <x v="1"/>
    <n v="3"/>
    <x v="1"/>
    <x v="1"/>
    <n v="412"/>
    <s v="local store"/>
    <x v="2"/>
    <x v="3"/>
    <x v="0"/>
  </r>
  <r>
    <n v="341"/>
    <n v="99996"/>
    <x v="1"/>
    <x v="1"/>
    <s v="Kochi"/>
    <x v="8"/>
    <x v="7"/>
    <s v="15000-30000"/>
    <x v="0"/>
    <s v="filter"/>
    <n v="2.4"/>
    <x v="1"/>
    <n v="3"/>
    <x v="1"/>
    <x v="5"/>
    <n v="460"/>
    <s v="Cafa"/>
    <x v="0"/>
    <x v="3"/>
    <x v="2"/>
  </r>
  <r>
    <n v="342"/>
    <n v="88505"/>
    <x v="3"/>
    <x v="1"/>
    <s v="Delhi"/>
    <x v="2"/>
    <x v="4"/>
    <s v="60000-100000"/>
    <x v="0"/>
    <s v="espresso"/>
    <n v="0.6"/>
    <x v="2"/>
    <n v="7"/>
    <x v="1"/>
    <x v="1"/>
    <n v="960"/>
    <s v="local store"/>
    <x v="2"/>
    <x v="1"/>
    <x v="1"/>
  </r>
  <r>
    <n v="343"/>
    <n v="11065"/>
    <x v="3"/>
    <x v="1"/>
    <s v="Hyderabad"/>
    <x v="1"/>
    <x v="5"/>
    <s v="30000-60000"/>
    <x v="4"/>
    <s v="instant"/>
    <n v="2.2000000000000002"/>
    <x v="2"/>
    <n v="7"/>
    <x v="2"/>
    <x v="1"/>
    <n v="768"/>
    <s v="Cafa"/>
    <x v="0"/>
    <x v="2"/>
    <x v="1"/>
  </r>
  <r>
    <n v="344"/>
    <n v="70395"/>
    <x v="1"/>
    <x v="0"/>
    <s v="Bengaluru"/>
    <x v="0"/>
    <x v="8"/>
    <s v="&lt;15000"/>
    <x v="3"/>
    <s v="ready-to-drink"/>
    <n v="0.55000000000000004"/>
    <x v="2"/>
    <n v="7"/>
    <x v="2"/>
    <x v="0"/>
    <n v="185"/>
    <s v="supermarket"/>
    <x v="2"/>
    <x v="1"/>
    <x v="1"/>
  </r>
  <r>
    <n v="345"/>
    <n v="58328"/>
    <x v="4"/>
    <x v="0"/>
    <s v="Kolkata"/>
    <x v="5"/>
    <x v="7"/>
    <s v="15000-30000"/>
    <x v="2"/>
    <s v="instant"/>
    <n v="0.625"/>
    <x v="2"/>
    <n v="7"/>
    <x v="0"/>
    <x v="1"/>
    <n v="527"/>
    <s v="Cafa"/>
    <x v="2"/>
    <x v="3"/>
    <x v="1"/>
  </r>
  <r>
    <n v="346"/>
    <n v="19400"/>
    <x v="4"/>
    <x v="0"/>
    <s v="Bengaluru"/>
    <x v="0"/>
    <x v="5"/>
    <s v="30000-60000"/>
    <x v="2"/>
    <s v="instant"/>
    <n v="2.5"/>
    <x v="2"/>
    <n v="7"/>
    <x v="2"/>
    <x v="5"/>
    <n v="425"/>
    <s v="supermarket"/>
    <x v="0"/>
    <x v="2"/>
    <x v="1"/>
  </r>
  <r>
    <n v="347"/>
    <n v="49999"/>
    <x v="4"/>
    <x v="0"/>
    <s v="Mumbai"/>
    <x v="4"/>
    <x v="2"/>
    <s v="&lt;15000"/>
    <x v="6"/>
    <s v="instant"/>
    <n v="0.55000000000000004"/>
    <x v="2"/>
    <n v="7"/>
    <x v="0"/>
    <x v="1"/>
    <n v="242"/>
    <s v="Cafa"/>
    <x v="2"/>
    <x v="1"/>
    <x v="1"/>
  </r>
  <r>
    <n v="348"/>
    <n v="50347"/>
    <x v="1"/>
    <x v="0"/>
    <s v="Coimbatore"/>
    <x v="6"/>
    <x v="8"/>
    <s v="15000-30000"/>
    <x v="0"/>
    <s v="filter"/>
    <n v="2.4"/>
    <x v="0"/>
    <n v="1"/>
    <x v="0"/>
    <x v="2"/>
    <n v="338"/>
    <s v="supermarket"/>
    <x v="3"/>
    <x v="0"/>
    <x v="0"/>
  </r>
  <r>
    <n v="349"/>
    <n v="97005"/>
    <x v="0"/>
    <x v="1"/>
    <s v="Nagpur"/>
    <x v="4"/>
    <x v="4"/>
    <s v="15000-30000"/>
    <x v="0"/>
    <s v="instant"/>
    <n v="2.4"/>
    <x v="2"/>
    <n v="7"/>
    <x v="1"/>
    <x v="1"/>
    <n v="555"/>
    <s v="Cafa"/>
    <x v="0"/>
    <x v="2"/>
    <x v="2"/>
  </r>
  <r>
    <n v="350"/>
    <n v="91378"/>
    <x v="2"/>
    <x v="1"/>
    <s v="Jaipur"/>
    <x v="3"/>
    <x v="1"/>
    <s v="15000-30000"/>
    <x v="2"/>
    <s v="filter"/>
    <n v="2.5"/>
    <x v="2"/>
    <n v="7"/>
    <x v="1"/>
    <x v="0"/>
    <n v="313"/>
    <s v="online"/>
    <x v="3"/>
    <x v="1"/>
    <x v="2"/>
  </r>
  <r>
    <n v="351"/>
    <n v="97699"/>
    <x v="3"/>
    <x v="0"/>
    <s v="Chennai"/>
    <x v="6"/>
    <x v="0"/>
    <s v="15000-30000"/>
    <x v="0"/>
    <s v="filter"/>
    <n v="2.4"/>
    <x v="1"/>
    <n v="3"/>
    <x v="1"/>
    <x v="1"/>
    <n v="325"/>
    <s v="local store"/>
    <x v="3"/>
    <x v="0"/>
    <x v="1"/>
  </r>
  <r>
    <n v="352"/>
    <n v="15291"/>
    <x v="4"/>
    <x v="1"/>
    <s v="Bengaluru"/>
    <x v="0"/>
    <x v="7"/>
    <s v="&lt;15000"/>
    <x v="6"/>
    <s v="espresso"/>
    <n v="1.1000000000000001"/>
    <x v="1"/>
    <n v="3"/>
    <x v="1"/>
    <x v="1"/>
    <n v="367"/>
    <s v="supermarket"/>
    <x v="1"/>
    <x v="2"/>
    <x v="1"/>
  </r>
  <r>
    <n v="353"/>
    <n v="61920"/>
    <x v="2"/>
    <x v="0"/>
    <s v="Mumbai"/>
    <x v="4"/>
    <x v="7"/>
    <s v="&lt;15000"/>
    <x v="1"/>
    <s v="instant"/>
    <n v="1"/>
    <x v="2"/>
    <n v="7"/>
    <x v="2"/>
    <x v="1"/>
    <n v="294"/>
    <s v="online"/>
    <x v="1"/>
    <x v="1"/>
    <x v="1"/>
  </r>
  <r>
    <n v="354"/>
    <n v="99703"/>
    <x v="3"/>
    <x v="0"/>
    <s v="Mysuru"/>
    <x v="0"/>
    <x v="2"/>
    <s v="30000-60000"/>
    <x v="0"/>
    <s v="filter"/>
    <n v="2.4"/>
    <x v="1"/>
    <n v="3"/>
    <x v="1"/>
    <x v="1"/>
    <n v="677"/>
    <s v="Cafa"/>
    <x v="3"/>
    <x v="1"/>
    <x v="0"/>
  </r>
  <r>
    <n v="355"/>
    <n v="32462"/>
    <x v="0"/>
    <x v="0"/>
    <s v="Indore"/>
    <x v="10"/>
    <x v="1"/>
    <s v="15000-30000"/>
    <x v="0"/>
    <s v="espresso"/>
    <n v="2.4"/>
    <x v="2"/>
    <n v="7"/>
    <x v="0"/>
    <x v="1"/>
    <n v="490"/>
    <s v="supermarket"/>
    <x v="3"/>
    <x v="0"/>
    <x v="0"/>
  </r>
  <r>
    <n v="356"/>
    <n v="99014"/>
    <x v="2"/>
    <x v="0"/>
    <s v="Nagpur"/>
    <x v="4"/>
    <x v="3"/>
    <s v="15000-30000"/>
    <x v="1"/>
    <s v="instant"/>
    <n v="2"/>
    <x v="2"/>
    <n v="7"/>
    <x v="1"/>
    <x v="1"/>
    <n v="526"/>
    <s v="local store"/>
    <x v="3"/>
    <x v="0"/>
    <x v="2"/>
  </r>
  <r>
    <n v="357"/>
    <n v="95995"/>
    <x v="1"/>
    <x v="0"/>
    <s v="Mysuru"/>
    <x v="0"/>
    <x v="9"/>
    <s v="60000-100000"/>
    <x v="7"/>
    <s v="instant"/>
    <n v="0.375"/>
    <x v="2"/>
    <n v="7"/>
    <x v="0"/>
    <x v="5"/>
    <n v="1448"/>
    <s v="local store"/>
    <x v="2"/>
    <x v="1"/>
    <x v="0"/>
  </r>
  <r>
    <n v="358"/>
    <n v="60845"/>
    <x v="2"/>
    <x v="0"/>
    <s v="Hyderabad"/>
    <x v="1"/>
    <x v="5"/>
    <s v="60000-100000"/>
    <x v="5"/>
    <s v="espresso"/>
    <n v="2.2000000000000002"/>
    <x v="0"/>
    <n v="1"/>
    <x v="2"/>
    <x v="1"/>
    <n v="1016"/>
    <s v="Cafa"/>
    <x v="0"/>
    <x v="2"/>
    <x v="1"/>
  </r>
  <r>
    <n v="359"/>
    <n v="52108"/>
    <x v="0"/>
    <x v="1"/>
    <s v="Kochi"/>
    <x v="8"/>
    <x v="0"/>
    <s v="30000-60000"/>
    <x v="0"/>
    <s v="filter"/>
    <n v="1.2"/>
    <x v="2"/>
    <n v="7"/>
    <x v="0"/>
    <x v="5"/>
    <n v="746"/>
    <s v="online"/>
    <x v="1"/>
    <x v="1"/>
    <x v="2"/>
  </r>
  <r>
    <n v="360"/>
    <n v="46884"/>
    <x v="2"/>
    <x v="0"/>
    <s v="Ahmedabad"/>
    <x v="9"/>
    <x v="1"/>
    <s v="&lt;15000"/>
    <x v="5"/>
    <s v="espresso"/>
    <n v="0.55000000000000004"/>
    <x v="1"/>
    <n v="3"/>
    <x v="0"/>
    <x v="5"/>
    <n v="286"/>
    <s v="local store"/>
    <x v="2"/>
    <x v="2"/>
    <x v="2"/>
  </r>
  <r>
    <n v="361"/>
    <n v="83492"/>
    <x v="3"/>
    <x v="0"/>
    <s v="Kochi"/>
    <x v="8"/>
    <x v="7"/>
    <s v="15000-30000"/>
    <x v="6"/>
    <s v="filter"/>
    <n v="2.2000000000000002"/>
    <x v="2"/>
    <n v="7"/>
    <x v="1"/>
    <x v="1"/>
    <n v="539"/>
    <s v="Cafa"/>
    <x v="3"/>
    <x v="0"/>
    <x v="2"/>
  </r>
  <r>
    <n v="362"/>
    <n v="84811"/>
    <x v="1"/>
    <x v="1"/>
    <s v="Chennai"/>
    <x v="6"/>
    <x v="8"/>
    <s v="100000+"/>
    <x v="0"/>
    <s v="filter"/>
    <n v="2.4"/>
    <x v="2"/>
    <n v="7"/>
    <x v="0"/>
    <x v="0"/>
    <n v="2449"/>
    <s v="supermarket"/>
    <x v="0"/>
    <x v="1"/>
    <x v="1"/>
  </r>
  <r>
    <n v="363"/>
    <n v="24652"/>
    <x v="2"/>
    <x v="1"/>
    <s v="Delhi"/>
    <x v="2"/>
    <x v="3"/>
    <s v="&lt;15000"/>
    <x v="0"/>
    <s v="espresso"/>
    <n v="0.6"/>
    <x v="1"/>
    <n v="3"/>
    <x v="0"/>
    <x v="2"/>
    <n v="269"/>
    <s v="supermarket"/>
    <x v="2"/>
    <x v="1"/>
    <x v="1"/>
  </r>
  <r>
    <n v="364"/>
    <n v="31178"/>
    <x v="0"/>
    <x v="1"/>
    <s v="Bengaluru"/>
    <x v="0"/>
    <x v="1"/>
    <s v="30000-60000"/>
    <x v="2"/>
    <s v="instant"/>
    <n v="2.5"/>
    <x v="2"/>
    <n v="7"/>
    <x v="1"/>
    <x v="3"/>
    <n v="897"/>
    <s v="supermarket"/>
    <x v="0"/>
    <x v="0"/>
    <x v="1"/>
  </r>
  <r>
    <n v="365"/>
    <n v="29226"/>
    <x v="2"/>
    <x v="1"/>
    <s v="Ahmedabad"/>
    <x v="9"/>
    <x v="3"/>
    <s v="30000-60000"/>
    <x v="5"/>
    <s v="instant"/>
    <n v="2.2000000000000002"/>
    <x v="2"/>
    <n v="7"/>
    <x v="1"/>
    <x v="4"/>
    <n v="522"/>
    <s v="Cafa"/>
    <x v="0"/>
    <x v="3"/>
    <x v="2"/>
  </r>
  <r>
    <n v="366"/>
    <n v="82287"/>
    <x v="1"/>
    <x v="0"/>
    <s v="Kolkata"/>
    <x v="5"/>
    <x v="7"/>
    <s v="60000-100000"/>
    <x v="7"/>
    <s v="instant"/>
    <n v="0.375"/>
    <x v="2"/>
    <n v="7"/>
    <x v="2"/>
    <x v="1"/>
    <n v="1279"/>
    <s v="local store"/>
    <x v="2"/>
    <x v="1"/>
    <x v="1"/>
  </r>
  <r>
    <n v="367"/>
    <n v="58393"/>
    <x v="0"/>
    <x v="0"/>
    <s v="Bengaluru"/>
    <x v="0"/>
    <x v="7"/>
    <s v="30000-60000"/>
    <x v="6"/>
    <s v="filter"/>
    <n v="1.1000000000000001"/>
    <x v="2"/>
    <n v="7"/>
    <x v="0"/>
    <x v="0"/>
    <n v="575"/>
    <s v="local store"/>
    <x v="1"/>
    <x v="2"/>
    <x v="1"/>
  </r>
  <r>
    <n v="368"/>
    <n v="79293"/>
    <x v="1"/>
    <x v="1"/>
    <s v="Coimbatore"/>
    <x v="6"/>
    <x v="2"/>
    <s v="100000+"/>
    <x v="0"/>
    <s v="instant"/>
    <n v="2.4"/>
    <x v="1"/>
    <n v="3"/>
    <x v="0"/>
    <x v="4"/>
    <n v="2968"/>
    <s v="local store"/>
    <x v="3"/>
    <x v="2"/>
    <x v="0"/>
  </r>
  <r>
    <n v="369"/>
    <n v="79221"/>
    <x v="2"/>
    <x v="0"/>
    <s v="Hyderabad"/>
    <x v="1"/>
    <x v="1"/>
    <s v="15000-30000"/>
    <x v="0"/>
    <s v="instant"/>
    <n v="2.4"/>
    <x v="1"/>
    <n v="3"/>
    <x v="1"/>
    <x v="2"/>
    <n v="579"/>
    <s v="local store"/>
    <x v="3"/>
    <x v="3"/>
    <x v="1"/>
  </r>
  <r>
    <n v="370"/>
    <n v="43834"/>
    <x v="1"/>
    <x v="0"/>
    <s v="Delhi"/>
    <x v="2"/>
    <x v="3"/>
    <s v="15000-30000"/>
    <x v="5"/>
    <s v="filter"/>
    <n v="2.2000000000000002"/>
    <x v="2"/>
    <n v="7"/>
    <x v="0"/>
    <x v="0"/>
    <n v="410"/>
    <s v="Cafa"/>
    <x v="3"/>
    <x v="2"/>
    <x v="1"/>
  </r>
  <r>
    <n v="371"/>
    <n v="99439"/>
    <x v="1"/>
    <x v="0"/>
    <s v="Hyderabad"/>
    <x v="1"/>
    <x v="0"/>
    <s v="60000-100000"/>
    <x v="7"/>
    <s v="instant"/>
    <n v="1.5"/>
    <x v="2"/>
    <n v="7"/>
    <x v="0"/>
    <x v="1"/>
    <n v="1173"/>
    <s v="Cafa"/>
    <x v="3"/>
    <x v="2"/>
    <x v="1"/>
  </r>
  <r>
    <n v="372"/>
    <n v="49983"/>
    <x v="1"/>
    <x v="0"/>
    <s v="Kolkata"/>
    <x v="5"/>
    <x v="4"/>
    <s v="60000-100000"/>
    <x v="2"/>
    <s v="cold brew"/>
    <n v="1.25"/>
    <x v="2"/>
    <n v="7"/>
    <x v="2"/>
    <x v="0"/>
    <n v="1023"/>
    <s v="online"/>
    <x v="1"/>
    <x v="2"/>
    <x v="1"/>
  </r>
  <r>
    <n v="373"/>
    <n v="51804"/>
    <x v="2"/>
    <x v="0"/>
    <s v="Hyderabad"/>
    <x v="1"/>
    <x v="8"/>
    <s v="&lt;15000"/>
    <x v="0"/>
    <s v="cold brew"/>
    <n v="0.6"/>
    <x v="0"/>
    <n v="1"/>
    <x v="0"/>
    <x v="1"/>
    <n v="395"/>
    <s v="local store"/>
    <x v="2"/>
    <x v="0"/>
    <x v="1"/>
  </r>
  <r>
    <n v="374"/>
    <n v="90824"/>
    <x v="2"/>
    <x v="0"/>
    <s v="Pune"/>
    <x v="4"/>
    <x v="7"/>
    <s v="15000-30000"/>
    <x v="6"/>
    <s v="instant"/>
    <n v="1.1000000000000001"/>
    <x v="1"/>
    <n v="3"/>
    <x v="0"/>
    <x v="2"/>
    <n v="284"/>
    <s v="supermarket"/>
    <x v="1"/>
    <x v="1"/>
    <x v="2"/>
  </r>
  <r>
    <n v="375"/>
    <n v="44984"/>
    <x v="1"/>
    <x v="1"/>
    <s v="Ahmedabad"/>
    <x v="9"/>
    <x v="6"/>
    <s v="60000-100000"/>
    <x v="5"/>
    <s v="instant"/>
    <n v="2.2000000000000002"/>
    <x v="1"/>
    <n v="3"/>
    <x v="0"/>
    <x v="1"/>
    <n v="823"/>
    <s v="local store"/>
    <x v="3"/>
    <x v="1"/>
    <x v="2"/>
  </r>
  <r>
    <n v="376"/>
    <n v="86762"/>
    <x v="4"/>
    <x v="0"/>
    <s v="Mumbai"/>
    <x v="4"/>
    <x v="5"/>
    <s v="60000-100000"/>
    <x v="4"/>
    <s v="instant"/>
    <n v="2.2000000000000002"/>
    <x v="0"/>
    <n v="1"/>
    <x v="0"/>
    <x v="5"/>
    <n v="902"/>
    <s v="Cafa"/>
    <x v="3"/>
    <x v="0"/>
    <x v="1"/>
  </r>
  <r>
    <n v="377"/>
    <n v="37379"/>
    <x v="0"/>
    <x v="0"/>
    <s v="Coimbatore"/>
    <x v="6"/>
    <x v="1"/>
    <s v="15000-30000"/>
    <x v="0"/>
    <s v="filter"/>
    <n v="2.4"/>
    <x v="0"/>
    <n v="1"/>
    <x v="0"/>
    <x v="5"/>
    <n v="491"/>
    <s v="online"/>
    <x v="3"/>
    <x v="1"/>
    <x v="0"/>
  </r>
  <r>
    <n v="378"/>
    <n v="27435"/>
    <x v="3"/>
    <x v="1"/>
    <s v="Coimbatore"/>
    <x v="6"/>
    <x v="1"/>
    <s v="30000-60000"/>
    <x v="0"/>
    <s v="filter"/>
    <n v="1.2"/>
    <x v="2"/>
    <n v="7"/>
    <x v="1"/>
    <x v="1"/>
    <n v="599"/>
    <s v="supermarket"/>
    <x v="1"/>
    <x v="1"/>
    <x v="0"/>
  </r>
  <r>
    <n v="379"/>
    <n v="58777"/>
    <x v="2"/>
    <x v="1"/>
    <s v="Kolkata"/>
    <x v="5"/>
    <x v="2"/>
    <s v="15000-30000"/>
    <x v="2"/>
    <s v="ready-to-drink"/>
    <n v="1.25"/>
    <x v="2"/>
    <n v="7"/>
    <x v="0"/>
    <x v="2"/>
    <n v="459"/>
    <s v="online"/>
    <x v="1"/>
    <x v="0"/>
    <x v="1"/>
  </r>
  <r>
    <n v="380"/>
    <n v="13458"/>
    <x v="1"/>
    <x v="0"/>
    <s v="Jaipur"/>
    <x v="3"/>
    <x v="1"/>
    <s v="30000-60000"/>
    <x v="5"/>
    <s v="espresso"/>
    <n v="2.2000000000000002"/>
    <x v="2"/>
    <n v="7"/>
    <x v="1"/>
    <x v="2"/>
    <n v="478"/>
    <s v="Cafa"/>
    <x v="3"/>
    <x v="3"/>
    <x v="2"/>
  </r>
  <r>
    <n v="381"/>
    <n v="20095"/>
    <x v="0"/>
    <x v="1"/>
    <s v="Pune"/>
    <x v="4"/>
    <x v="3"/>
    <s v="15000-30000"/>
    <x v="4"/>
    <s v="instant"/>
    <n v="2.2000000000000002"/>
    <x v="1"/>
    <n v="3"/>
    <x v="0"/>
    <x v="5"/>
    <n v="258"/>
    <s v="Cafa"/>
    <x v="3"/>
    <x v="0"/>
    <x v="2"/>
  </r>
  <r>
    <n v="382"/>
    <n v="57144"/>
    <x v="2"/>
    <x v="0"/>
    <s v="Kolkata"/>
    <x v="5"/>
    <x v="6"/>
    <s v="15000-30000"/>
    <x v="1"/>
    <s v="instant"/>
    <n v="0.5"/>
    <x v="2"/>
    <n v="7"/>
    <x v="0"/>
    <x v="2"/>
    <n v="491"/>
    <s v="Cafa"/>
    <x v="2"/>
    <x v="1"/>
    <x v="1"/>
  </r>
  <r>
    <n v="383"/>
    <n v="53123"/>
    <x v="0"/>
    <x v="1"/>
    <s v="Hyderabad"/>
    <x v="1"/>
    <x v="7"/>
    <s v="30000-60000"/>
    <x v="5"/>
    <s v="cold brew"/>
    <n v="0.55000000000000004"/>
    <x v="2"/>
    <n v="7"/>
    <x v="2"/>
    <x v="0"/>
    <n v="754"/>
    <s v="online"/>
    <x v="2"/>
    <x v="0"/>
    <x v="1"/>
  </r>
  <r>
    <n v="384"/>
    <n v="80399"/>
    <x v="1"/>
    <x v="1"/>
    <s v="Nagpur"/>
    <x v="4"/>
    <x v="7"/>
    <s v="100000+"/>
    <x v="6"/>
    <s v="instant"/>
    <n v="2.2000000000000002"/>
    <x v="2"/>
    <n v="7"/>
    <x v="2"/>
    <x v="4"/>
    <n v="1472"/>
    <s v="local store"/>
    <x v="3"/>
    <x v="2"/>
    <x v="2"/>
  </r>
  <r>
    <n v="385"/>
    <n v="10313"/>
    <x v="2"/>
    <x v="1"/>
    <s v="Chennai"/>
    <x v="6"/>
    <x v="6"/>
    <s v="15000-30000"/>
    <x v="7"/>
    <s v="instant"/>
    <n v="1.5"/>
    <x v="0"/>
    <n v="1"/>
    <x v="1"/>
    <x v="1"/>
    <n v="500"/>
    <s v="Cafa"/>
    <x v="3"/>
    <x v="2"/>
    <x v="1"/>
  </r>
  <r>
    <n v="386"/>
    <n v="40166"/>
    <x v="2"/>
    <x v="1"/>
    <s v="Delhi"/>
    <x v="2"/>
    <x v="5"/>
    <s v="30000-60000"/>
    <x v="3"/>
    <s v="instant"/>
    <n v="2.2000000000000002"/>
    <x v="2"/>
    <n v="7"/>
    <x v="0"/>
    <x v="4"/>
    <n v="696"/>
    <s v="supermarket"/>
    <x v="0"/>
    <x v="3"/>
    <x v="1"/>
  </r>
  <r>
    <n v="387"/>
    <n v="56644"/>
    <x v="3"/>
    <x v="0"/>
    <s v="Bengaluru"/>
    <x v="0"/>
    <x v="5"/>
    <s v="15000-30000"/>
    <x v="4"/>
    <s v="instant"/>
    <n v="0.55000000000000004"/>
    <x v="0"/>
    <n v="1"/>
    <x v="0"/>
    <x v="1"/>
    <n v="482"/>
    <s v="Cafa"/>
    <x v="2"/>
    <x v="1"/>
    <x v="1"/>
  </r>
  <r>
    <n v="388"/>
    <n v="85177"/>
    <x v="4"/>
    <x v="0"/>
    <s v="Bengaluru"/>
    <x v="0"/>
    <x v="0"/>
    <s v="30000-60000"/>
    <x v="0"/>
    <s v="filter"/>
    <n v="1.2"/>
    <x v="1"/>
    <n v="3"/>
    <x v="2"/>
    <x v="1"/>
    <n v="846"/>
    <s v="online"/>
    <x v="1"/>
    <x v="1"/>
    <x v="1"/>
  </r>
  <r>
    <n v="389"/>
    <n v="10707"/>
    <x v="3"/>
    <x v="1"/>
    <s v="Hyderabad"/>
    <x v="1"/>
    <x v="1"/>
    <s v="15000-30000"/>
    <x v="1"/>
    <s v="filter"/>
    <n v="1"/>
    <x v="2"/>
    <n v="7"/>
    <x v="0"/>
    <x v="1"/>
    <n v="298"/>
    <s v="supermarket"/>
    <x v="1"/>
    <x v="0"/>
    <x v="1"/>
  </r>
  <r>
    <n v="390"/>
    <n v="53793"/>
    <x v="0"/>
    <x v="1"/>
    <s v="Kolkata"/>
    <x v="5"/>
    <x v="1"/>
    <s v="15000-30000"/>
    <x v="3"/>
    <s v="filter"/>
    <n v="2.2000000000000002"/>
    <x v="2"/>
    <n v="7"/>
    <x v="0"/>
    <x v="0"/>
    <n v="283"/>
    <s v="local store"/>
    <x v="0"/>
    <x v="2"/>
    <x v="1"/>
  </r>
  <r>
    <n v="391"/>
    <n v="69547"/>
    <x v="2"/>
    <x v="1"/>
    <s v="Pune"/>
    <x v="4"/>
    <x v="8"/>
    <s v="30000-60000"/>
    <x v="0"/>
    <s v="instant"/>
    <n v="1.2"/>
    <x v="1"/>
    <n v="3"/>
    <x v="2"/>
    <x v="0"/>
    <n v="632"/>
    <s v="local store"/>
    <x v="1"/>
    <x v="2"/>
    <x v="2"/>
  </r>
  <r>
    <n v="392"/>
    <n v="44704"/>
    <x v="1"/>
    <x v="1"/>
    <s v="Bengaluru"/>
    <x v="0"/>
    <x v="0"/>
    <s v="15000-30000"/>
    <x v="1"/>
    <s v="instant"/>
    <n v="2"/>
    <x v="2"/>
    <n v="7"/>
    <x v="2"/>
    <x v="1"/>
    <n v="309"/>
    <s v="online"/>
    <x v="3"/>
    <x v="3"/>
    <x v="1"/>
  </r>
  <r>
    <n v="393"/>
    <n v="90756"/>
    <x v="2"/>
    <x v="0"/>
    <s v="Hyderabad"/>
    <x v="1"/>
    <x v="6"/>
    <s v="60000-100000"/>
    <x v="2"/>
    <s v="instant"/>
    <n v="0.625"/>
    <x v="1"/>
    <n v="3"/>
    <x v="0"/>
    <x v="0"/>
    <n v="1243"/>
    <s v="supermarket"/>
    <x v="2"/>
    <x v="0"/>
    <x v="1"/>
  </r>
  <r>
    <n v="394"/>
    <n v="90895"/>
    <x v="0"/>
    <x v="1"/>
    <s v="Chennai"/>
    <x v="6"/>
    <x v="4"/>
    <s v="&lt;15000"/>
    <x v="2"/>
    <s v="instant"/>
    <n v="1.25"/>
    <x v="0"/>
    <n v="1"/>
    <x v="2"/>
    <x v="3"/>
    <n v="287"/>
    <s v="online"/>
    <x v="1"/>
    <x v="1"/>
    <x v="1"/>
  </r>
  <r>
    <n v="395"/>
    <n v="96927"/>
    <x v="1"/>
    <x v="1"/>
    <s v="Coimbatore"/>
    <x v="6"/>
    <x v="0"/>
    <s v="&lt;15000"/>
    <x v="4"/>
    <s v="instant"/>
    <n v="2.2000000000000002"/>
    <x v="2"/>
    <n v="7"/>
    <x v="0"/>
    <x v="2"/>
    <n v="175"/>
    <s v="online"/>
    <x v="3"/>
    <x v="0"/>
    <x v="0"/>
  </r>
  <r>
    <n v="396"/>
    <n v="61096"/>
    <x v="1"/>
    <x v="1"/>
    <s v="Pune"/>
    <x v="4"/>
    <x v="0"/>
    <s v="15000-30000"/>
    <x v="0"/>
    <s v="instant"/>
    <n v="1.2"/>
    <x v="2"/>
    <n v="7"/>
    <x v="0"/>
    <x v="4"/>
    <n v="305"/>
    <s v="online"/>
    <x v="1"/>
    <x v="3"/>
    <x v="2"/>
  </r>
  <r>
    <n v="397"/>
    <n v="23288"/>
    <x v="1"/>
    <x v="1"/>
    <s v="Ahmedabad"/>
    <x v="9"/>
    <x v="5"/>
    <s v="30000-60000"/>
    <x v="2"/>
    <s v="instant"/>
    <n v="2.5"/>
    <x v="2"/>
    <n v="7"/>
    <x v="1"/>
    <x v="1"/>
    <n v="606"/>
    <s v="online"/>
    <x v="0"/>
    <x v="2"/>
    <x v="2"/>
  </r>
  <r>
    <n v="398"/>
    <n v="98238"/>
    <x v="4"/>
    <x v="0"/>
    <s v="Mumbai"/>
    <x v="4"/>
    <x v="9"/>
    <s v="&lt;15000"/>
    <x v="5"/>
    <s v="ready-to-drink"/>
    <n v="1.1000000000000001"/>
    <x v="2"/>
    <n v="7"/>
    <x v="0"/>
    <x v="1"/>
    <n v="283"/>
    <s v="online"/>
    <x v="1"/>
    <x v="3"/>
    <x v="1"/>
  </r>
  <r>
    <n v="399"/>
    <n v="15219"/>
    <x v="1"/>
    <x v="0"/>
    <s v="Chennai"/>
    <x v="6"/>
    <x v="6"/>
    <s v="60000-100000"/>
    <x v="2"/>
    <s v="cold brew"/>
    <n v="2.5"/>
    <x v="2"/>
    <n v="7"/>
    <x v="0"/>
    <x v="1"/>
    <n v="1368"/>
    <s v="online"/>
    <x v="0"/>
    <x v="3"/>
    <x v="1"/>
  </r>
  <r>
    <n v="400"/>
    <n v="96488"/>
    <x v="1"/>
    <x v="1"/>
    <s v="Jaipur"/>
    <x v="3"/>
    <x v="6"/>
    <s v="100000+"/>
    <x v="0"/>
    <s v="instant"/>
    <n v="1.2"/>
    <x v="0"/>
    <n v="1"/>
    <x v="1"/>
    <x v="0"/>
    <n v="2142"/>
    <s v="online"/>
    <x v="1"/>
    <x v="0"/>
    <x v="2"/>
  </r>
  <r>
    <n v="401"/>
    <n v="86043"/>
    <x v="2"/>
    <x v="1"/>
    <s v="Mumbai"/>
    <x v="4"/>
    <x v="7"/>
    <s v="&lt;15000"/>
    <x v="0"/>
    <s v="ready-to-drink"/>
    <n v="1.2"/>
    <x v="2"/>
    <n v="7"/>
    <x v="0"/>
    <x v="1"/>
    <n v="336"/>
    <s v="local store"/>
    <x v="1"/>
    <x v="1"/>
    <x v="1"/>
  </r>
  <r>
    <n v="402"/>
    <n v="15059"/>
    <x v="3"/>
    <x v="1"/>
    <s v="Mysuru"/>
    <x v="0"/>
    <x v="8"/>
    <s v="30000-60000"/>
    <x v="7"/>
    <s v="instant"/>
    <n v="0.375"/>
    <x v="2"/>
    <n v="7"/>
    <x v="1"/>
    <x v="3"/>
    <n v="775"/>
    <s v="online"/>
    <x v="2"/>
    <x v="0"/>
    <x v="0"/>
  </r>
  <r>
    <n v="403"/>
    <n v="39731"/>
    <x v="0"/>
    <x v="1"/>
    <s v="Bengaluru"/>
    <x v="0"/>
    <x v="6"/>
    <s v="30000-60000"/>
    <x v="0"/>
    <s v="filter"/>
    <n v="0.6"/>
    <x v="0"/>
    <n v="1"/>
    <x v="2"/>
    <x v="1"/>
    <n v="584"/>
    <s v="Cafa"/>
    <x v="2"/>
    <x v="3"/>
    <x v="1"/>
  </r>
  <r>
    <n v="404"/>
    <n v="17062"/>
    <x v="2"/>
    <x v="1"/>
    <s v="Coimbatore"/>
    <x v="6"/>
    <x v="0"/>
    <s v="30000-60000"/>
    <x v="0"/>
    <s v="filter"/>
    <n v="2.4"/>
    <x v="1"/>
    <n v="3"/>
    <x v="0"/>
    <x v="5"/>
    <n v="731"/>
    <s v="supermarket"/>
    <x v="0"/>
    <x v="3"/>
    <x v="0"/>
  </r>
  <r>
    <n v="405"/>
    <n v="48366"/>
    <x v="2"/>
    <x v="1"/>
    <s v="Indore"/>
    <x v="10"/>
    <x v="0"/>
    <s v="15000-30000"/>
    <x v="6"/>
    <s v="instant"/>
    <n v="2.2000000000000002"/>
    <x v="2"/>
    <n v="7"/>
    <x v="1"/>
    <x v="4"/>
    <n v="416"/>
    <s v="online"/>
    <x v="0"/>
    <x v="0"/>
    <x v="0"/>
  </r>
  <r>
    <n v="406"/>
    <n v="32976"/>
    <x v="3"/>
    <x v="1"/>
    <s v="Ahmedabad"/>
    <x v="9"/>
    <x v="5"/>
    <s v="30000-60000"/>
    <x v="6"/>
    <s v="instant"/>
    <n v="2.2000000000000002"/>
    <x v="1"/>
    <n v="3"/>
    <x v="0"/>
    <x v="1"/>
    <n v="432"/>
    <s v="online"/>
    <x v="0"/>
    <x v="3"/>
    <x v="2"/>
  </r>
  <r>
    <n v="407"/>
    <n v="42480"/>
    <x v="3"/>
    <x v="1"/>
    <s v="Mumbai"/>
    <x v="4"/>
    <x v="3"/>
    <s v="100000+"/>
    <x v="0"/>
    <s v="instant"/>
    <n v="2.4"/>
    <x v="1"/>
    <n v="3"/>
    <x v="0"/>
    <x v="1"/>
    <n v="1638"/>
    <s v="local store"/>
    <x v="0"/>
    <x v="2"/>
    <x v="1"/>
  </r>
  <r>
    <n v="408"/>
    <n v="14310"/>
    <x v="3"/>
    <x v="1"/>
    <s v="Kolkata"/>
    <x v="5"/>
    <x v="8"/>
    <s v="60000-100000"/>
    <x v="6"/>
    <s v="instant"/>
    <n v="2.2000000000000002"/>
    <x v="2"/>
    <n v="7"/>
    <x v="1"/>
    <x v="4"/>
    <n v="1088"/>
    <s v="supermarket"/>
    <x v="0"/>
    <x v="1"/>
    <x v="1"/>
  </r>
  <r>
    <n v="409"/>
    <n v="54462"/>
    <x v="2"/>
    <x v="0"/>
    <s v="Ahmedabad"/>
    <x v="9"/>
    <x v="3"/>
    <s v="30000-60000"/>
    <x v="3"/>
    <s v="instant"/>
    <n v="2.2000000000000002"/>
    <x v="2"/>
    <n v="7"/>
    <x v="0"/>
    <x v="0"/>
    <n v="688"/>
    <s v="local store"/>
    <x v="0"/>
    <x v="0"/>
    <x v="2"/>
  </r>
  <r>
    <n v="410"/>
    <n v="37139"/>
    <x v="0"/>
    <x v="0"/>
    <s v="Nagpur"/>
    <x v="4"/>
    <x v="8"/>
    <s v="15000-30000"/>
    <x v="5"/>
    <s v="cold brew"/>
    <n v="1.1000000000000001"/>
    <x v="1"/>
    <n v="3"/>
    <x v="0"/>
    <x v="4"/>
    <n v="459"/>
    <s v="local store"/>
    <x v="1"/>
    <x v="2"/>
    <x v="2"/>
  </r>
  <r>
    <n v="411"/>
    <n v="72801"/>
    <x v="2"/>
    <x v="0"/>
    <s v="Delhi"/>
    <x v="2"/>
    <x v="3"/>
    <s v="60000-100000"/>
    <x v="2"/>
    <s v="ready-to-drink"/>
    <n v="0.625"/>
    <x v="1"/>
    <n v="3"/>
    <x v="0"/>
    <x v="1"/>
    <n v="1257"/>
    <s v="local store"/>
    <x v="2"/>
    <x v="2"/>
    <x v="1"/>
  </r>
  <r>
    <n v="412"/>
    <n v="44401"/>
    <x v="1"/>
    <x v="0"/>
    <s v="Mysuru"/>
    <x v="0"/>
    <x v="6"/>
    <s v="&lt;15000"/>
    <x v="2"/>
    <s v="cold brew"/>
    <n v="2.5"/>
    <x v="0"/>
    <n v="1"/>
    <x v="1"/>
    <x v="1"/>
    <n v="264"/>
    <s v="Cafa"/>
    <x v="0"/>
    <x v="3"/>
    <x v="0"/>
  </r>
  <r>
    <n v="413"/>
    <n v="74271"/>
    <x v="1"/>
    <x v="1"/>
    <s v="Mumbai"/>
    <x v="4"/>
    <x v="2"/>
    <s v="60000-100000"/>
    <x v="2"/>
    <s v="filter"/>
    <n v="0.625"/>
    <x v="2"/>
    <n v="7"/>
    <x v="0"/>
    <x v="3"/>
    <n v="811"/>
    <s v="online"/>
    <x v="2"/>
    <x v="0"/>
    <x v="1"/>
  </r>
  <r>
    <n v="414"/>
    <n v="89847"/>
    <x v="2"/>
    <x v="0"/>
    <s v="Nagpur"/>
    <x v="4"/>
    <x v="2"/>
    <s v="60000-100000"/>
    <x v="7"/>
    <s v="espresso"/>
    <n v="0.375"/>
    <x v="1"/>
    <n v="3"/>
    <x v="2"/>
    <x v="0"/>
    <n v="1178"/>
    <s v="local store"/>
    <x v="2"/>
    <x v="1"/>
    <x v="2"/>
  </r>
  <r>
    <n v="415"/>
    <n v="81698"/>
    <x v="1"/>
    <x v="1"/>
    <s v="Indore"/>
    <x v="10"/>
    <x v="2"/>
    <s v="60000-100000"/>
    <x v="5"/>
    <s v="espresso"/>
    <n v="0.55000000000000004"/>
    <x v="0"/>
    <n v="1"/>
    <x v="0"/>
    <x v="4"/>
    <n v="851"/>
    <s v="local store"/>
    <x v="2"/>
    <x v="3"/>
    <x v="0"/>
  </r>
  <r>
    <n v="416"/>
    <n v="89467"/>
    <x v="3"/>
    <x v="1"/>
    <s v="Ahmedabad"/>
    <x v="9"/>
    <x v="3"/>
    <s v="30000-60000"/>
    <x v="4"/>
    <s v="instant"/>
    <n v="2.2000000000000002"/>
    <x v="2"/>
    <n v="7"/>
    <x v="2"/>
    <x v="2"/>
    <n v="795"/>
    <s v="supermarket"/>
    <x v="0"/>
    <x v="1"/>
    <x v="2"/>
  </r>
  <r>
    <n v="417"/>
    <n v="58836"/>
    <x v="0"/>
    <x v="1"/>
    <s v="Delhi"/>
    <x v="2"/>
    <x v="9"/>
    <s v="100000+"/>
    <x v="0"/>
    <s v="ready-to-drink"/>
    <n v="1.2"/>
    <x v="2"/>
    <n v="7"/>
    <x v="0"/>
    <x v="1"/>
    <n v="1544"/>
    <s v="supermarket"/>
    <x v="1"/>
    <x v="0"/>
    <x v="1"/>
  </r>
  <r>
    <n v="418"/>
    <n v="74052"/>
    <x v="0"/>
    <x v="1"/>
    <s v="Mysuru"/>
    <x v="0"/>
    <x v="0"/>
    <s v="&lt;15000"/>
    <x v="3"/>
    <s v="filter"/>
    <n v="0.55000000000000004"/>
    <x v="0"/>
    <n v="1"/>
    <x v="0"/>
    <x v="0"/>
    <n v="301"/>
    <s v="Cafa"/>
    <x v="2"/>
    <x v="3"/>
    <x v="0"/>
  </r>
  <r>
    <n v="419"/>
    <n v="34683"/>
    <x v="1"/>
    <x v="0"/>
    <s v="Vizag"/>
    <x v="7"/>
    <x v="7"/>
    <s v="15000-30000"/>
    <x v="0"/>
    <s v="cold brew"/>
    <n v="0.6"/>
    <x v="1"/>
    <n v="3"/>
    <x v="0"/>
    <x v="1"/>
    <n v="337"/>
    <s v="online"/>
    <x v="2"/>
    <x v="3"/>
    <x v="0"/>
  </r>
  <r>
    <n v="420"/>
    <n v="27652"/>
    <x v="2"/>
    <x v="1"/>
    <s v="Jaipur"/>
    <x v="3"/>
    <x v="8"/>
    <s v="30000-60000"/>
    <x v="0"/>
    <s v="filter"/>
    <n v="1.2"/>
    <x v="2"/>
    <n v="7"/>
    <x v="0"/>
    <x v="1"/>
    <n v="559"/>
    <s v="supermarket"/>
    <x v="1"/>
    <x v="3"/>
    <x v="2"/>
  </r>
  <r>
    <n v="421"/>
    <n v="75901"/>
    <x v="1"/>
    <x v="0"/>
    <s v="Indore"/>
    <x v="10"/>
    <x v="8"/>
    <s v="&lt;15000"/>
    <x v="2"/>
    <s v="cold brew"/>
    <n v="0.625"/>
    <x v="2"/>
    <n v="7"/>
    <x v="1"/>
    <x v="4"/>
    <n v="394"/>
    <s v="online"/>
    <x v="2"/>
    <x v="3"/>
    <x v="0"/>
  </r>
  <r>
    <n v="422"/>
    <n v="32667"/>
    <x v="1"/>
    <x v="1"/>
    <s v="Indore"/>
    <x v="10"/>
    <x v="7"/>
    <s v="&lt;15000"/>
    <x v="2"/>
    <s v="cold brew"/>
    <n v="0.625"/>
    <x v="0"/>
    <n v="1"/>
    <x v="2"/>
    <x v="3"/>
    <n v="333"/>
    <s v="supermarket"/>
    <x v="2"/>
    <x v="3"/>
    <x v="0"/>
  </r>
  <r>
    <n v="423"/>
    <n v="27752"/>
    <x v="2"/>
    <x v="1"/>
    <s v="Delhi"/>
    <x v="2"/>
    <x v="6"/>
    <s v="&lt;15000"/>
    <x v="7"/>
    <s v="instant"/>
    <n v="1.5"/>
    <x v="2"/>
    <n v="7"/>
    <x v="1"/>
    <x v="5"/>
    <n v="213"/>
    <s v="local store"/>
    <x v="0"/>
    <x v="0"/>
    <x v="1"/>
  </r>
  <r>
    <n v="424"/>
    <n v="75204"/>
    <x v="1"/>
    <x v="1"/>
    <s v="Pune"/>
    <x v="4"/>
    <x v="8"/>
    <s v="&lt;15000"/>
    <x v="2"/>
    <s v="cold brew"/>
    <n v="2.5"/>
    <x v="2"/>
    <n v="7"/>
    <x v="1"/>
    <x v="1"/>
    <n v="320"/>
    <s v="Cafa"/>
    <x v="0"/>
    <x v="1"/>
    <x v="2"/>
  </r>
  <r>
    <n v="425"/>
    <n v="12372"/>
    <x v="1"/>
    <x v="1"/>
    <s v="Pune"/>
    <x v="4"/>
    <x v="6"/>
    <s v="15000-30000"/>
    <x v="2"/>
    <s v="cold brew"/>
    <n v="0.625"/>
    <x v="1"/>
    <n v="3"/>
    <x v="1"/>
    <x v="4"/>
    <n v="369"/>
    <s v="Cafa"/>
    <x v="2"/>
    <x v="3"/>
    <x v="2"/>
  </r>
  <r>
    <n v="426"/>
    <n v="69596"/>
    <x v="2"/>
    <x v="1"/>
    <s v="Kolkata"/>
    <x v="5"/>
    <x v="8"/>
    <s v="30000-60000"/>
    <x v="4"/>
    <s v="ready-to-drink"/>
    <n v="2.2000000000000002"/>
    <x v="2"/>
    <n v="7"/>
    <x v="0"/>
    <x v="1"/>
    <n v="777"/>
    <s v="supermarket"/>
    <x v="3"/>
    <x v="3"/>
    <x v="1"/>
  </r>
  <r>
    <n v="427"/>
    <n v="91043"/>
    <x v="2"/>
    <x v="0"/>
    <s v="Delhi"/>
    <x v="2"/>
    <x v="6"/>
    <s v="30000-60000"/>
    <x v="7"/>
    <s v="ready-to-drink"/>
    <n v="1.5"/>
    <x v="2"/>
    <n v="7"/>
    <x v="0"/>
    <x v="0"/>
    <n v="620"/>
    <s v="local store"/>
    <x v="3"/>
    <x v="3"/>
    <x v="1"/>
  </r>
  <r>
    <n v="428"/>
    <n v="68592"/>
    <x v="1"/>
    <x v="1"/>
    <s v="Jaipur"/>
    <x v="3"/>
    <x v="8"/>
    <s v="60000-100000"/>
    <x v="5"/>
    <s v="espresso"/>
    <n v="1.1000000000000001"/>
    <x v="2"/>
    <n v="7"/>
    <x v="0"/>
    <x v="0"/>
    <n v="948"/>
    <s v="local store"/>
    <x v="1"/>
    <x v="1"/>
    <x v="2"/>
  </r>
  <r>
    <n v="429"/>
    <n v="87532"/>
    <x v="1"/>
    <x v="0"/>
    <s v="Hyderabad"/>
    <x v="1"/>
    <x v="9"/>
    <s v="30000-60000"/>
    <x v="2"/>
    <s v="cold brew"/>
    <n v="2.5"/>
    <x v="2"/>
    <n v="7"/>
    <x v="1"/>
    <x v="1"/>
    <n v="541"/>
    <s v="online"/>
    <x v="0"/>
    <x v="2"/>
    <x v="1"/>
  </r>
  <r>
    <n v="430"/>
    <n v="27580"/>
    <x v="2"/>
    <x v="0"/>
    <s v="Vizag"/>
    <x v="7"/>
    <x v="8"/>
    <s v="60000-100000"/>
    <x v="6"/>
    <s v="instant"/>
    <n v="2.2000000000000002"/>
    <x v="2"/>
    <n v="7"/>
    <x v="1"/>
    <x v="1"/>
    <n v="1241"/>
    <s v="Cafa"/>
    <x v="0"/>
    <x v="2"/>
    <x v="0"/>
  </r>
  <r>
    <n v="431"/>
    <n v="68697"/>
    <x v="3"/>
    <x v="0"/>
    <s v="Mysuru"/>
    <x v="0"/>
    <x v="3"/>
    <s v="15000-30000"/>
    <x v="5"/>
    <s v="cold brew"/>
    <n v="2.2000000000000002"/>
    <x v="2"/>
    <n v="7"/>
    <x v="0"/>
    <x v="5"/>
    <n v="513"/>
    <s v="supermarket"/>
    <x v="3"/>
    <x v="2"/>
    <x v="0"/>
  </r>
  <r>
    <n v="432"/>
    <n v="81956"/>
    <x v="0"/>
    <x v="0"/>
    <s v="Nagpur"/>
    <x v="4"/>
    <x v="0"/>
    <s v="&lt;15000"/>
    <x v="1"/>
    <s v="instant"/>
    <n v="1"/>
    <x v="2"/>
    <n v="7"/>
    <x v="0"/>
    <x v="0"/>
    <n v="203"/>
    <s v="online"/>
    <x v="1"/>
    <x v="2"/>
    <x v="2"/>
  </r>
  <r>
    <n v="433"/>
    <n v="57158"/>
    <x v="2"/>
    <x v="0"/>
    <s v="Indore"/>
    <x v="10"/>
    <x v="1"/>
    <s v="30000-60000"/>
    <x v="5"/>
    <s v="ready-to-drink"/>
    <n v="1.1000000000000001"/>
    <x v="2"/>
    <n v="7"/>
    <x v="0"/>
    <x v="1"/>
    <n v="421"/>
    <s v="supermarket"/>
    <x v="1"/>
    <x v="0"/>
    <x v="0"/>
  </r>
  <r>
    <n v="434"/>
    <n v="71668"/>
    <x v="0"/>
    <x v="1"/>
    <s v="Nagpur"/>
    <x v="4"/>
    <x v="1"/>
    <s v="60000-100000"/>
    <x v="5"/>
    <s v="cold brew"/>
    <n v="2.2000000000000002"/>
    <x v="2"/>
    <n v="7"/>
    <x v="2"/>
    <x v="5"/>
    <n v="1208"/>
    <s v="local store"/>
    <x v="0"/>
    <x v="0"/>
    <x v="2"/>
  </r>
  <r>
    <n v="435"/>
    <n v="65790"/>
    <x v="4"/>
    <x v="0"/>
    <s v="Nagpur"/>
    <x v="4"/>
    <x v="9"/>
    <s v="30000-60000"/>
    <x v="6"/>
    <s v="instant"/>
    <n v="0.55000000000000004"/>
    <x v="1"/>
    <n v="3"/>
    <x v="2"/>
    <x v="3"/>
    <n v="632"/>
    <s v="local store"/>
    <x v="2"/>
    <x v="1"/>
    <x v="2"/>
  </r>
  <r>
    <n v="436"/>
    <n v="26101"/>
    <x v="0"/>
    <x v="0"/>
    <s v="Pune"/>
    <x v="4"/>
    <x v="2"/>
    <s v="60000-100000"/>
    <x v="5"/>
    <s v="instant"/>
    <n v="1.1000000000000001"/>
    <x v="2"/>
    <n v="7"/>
    <x v="1"/>
    <x v="1"/>
    <n v="1125"/>
    <s v="online"/>
    <x v="1"/>
    <x v="2"/>
    <x v="2"/>
  </r>
  <r>
    <n v="437"/>
    <n v="23102"/>
    <x v="1"/>
    <x v="0"/>
    <s v="Vizag"/>
    <x v="7"/>
    <x v="8"/>
    <s v="100000+"/>
    <x v="2"/>
    <s v="cold brew"/>
    <n v="2.5"/>
    <x v="2"/>
    <n v="7"/>
    <x v="1"/>
    <x v="2"/>
    <n v="1960"/>
    <s v="Cafa"/>
    <x v="0"/>
    <x v="0"/>
    <x v="0"/>
  </r>
  <r>
    <n v="438"/>
    <n v="96785"/>
    <x v="2"/>
    <x v="1"/>
    <s v="Hyderabad"/>
    <x v="1"/>
    <x v="4"/>
    <s v="60000-100000"/>
    <x v="4"/>
    <s v="espresso"/>
    <n v="2.2000000000000002"/>
    <x v="2"/>
    <n v="7"/>
    <x v="1"/>
    <x v="2"/>
    <n v="926"/>
    <s v="online"/>
    <x v="3"/>
    <x v="2"/>
    <x v="1"/>
  </r>
  <r>
    <n v="439"/>
    <n v="16750"/>
    <x v="0"/>
    <x v="0"/>
    <s v="Hyderabad"/>
    <x v="1"/>
    <x v="4"/>
    <s v="15000-30000"/>
    <x v="7"/>
    <s v="ready-to-drink"/>
    <n v="1.5"/>
    <x v="1"/>
    <n v="3"/>
    <x v="0"/>
    <x v="4"/>
    <n v="503"/>
    <s v="supermarket"/>
    <x v="3"/>
    <x v="3"/>
    <x v="1"/>
  </r>
  <r>
    <n v="440"/>
    <n v="78945"/>
    <x v="2"/>
    <x v="1"/>
    <s v="Nagpur"/>
    <x v="4"/>
    <x v="7"/>
    <s v="15000-30000"/>
    <x v="7"/>
    <s v="filter"/>
    <n v="0.75"/>
    <x v="2"/>
    <n v="7"/>
    <x v="1"/>
    <x v="0"/>
    <n v="517"/>
    <s v="supermarket"/>
    <x v="1"/>
    <x v="3"/>
    <x v="2"/>
  </r>
  <r>
    <n v="441"/>
    <n v="41019"/>
    <x v="2"/>
    <x v="0"/>
    <s v="Indore"/>
    <x v="10"/>
    <x v="0"/>
    <s v="60000-100000"/>
    <x v="7"/>
    <s v="cold brew"/>
    <n v="0.375"/>
    <x v="1"/>
    <n v="3"/>
    <x v="0"/>
    <x v="1"/>
    <n v="1231"/>
    <s v="local store"/>
    <x v="2"/>
    <x v="2"/>
    <x v="0"/>
  </r>
  <r>
    <n v="442"/>
    <n v="46284"/>
    <x v="4"/>
    <x v="1"/>
    <s v="Hyderabad"/>
    <x v="1"/>
    <x v="1"/>
    <s v="100000+"/>
    <x v="2"/>
    <s v="instant"/>
    <n v="1.25"/>
    <x v="2"/>
    <n v="7"/>
    <x v="1"/>
    <x v="1"/>
    <n v="1268"/>
    <s v="local store"/>
    <x v="1"/>
    <x v="1"/>
    <x v="1"/>
  </r>
  <r>
    <n v="443"/>
    <n v="73760"/>
    <x v="0"/>
    <x v="0"/>
    <s v="Delhi"/>
    <x v="2"/>
    <x v="2"/>
    <s v="30000-60000"/>
    <x v="6"/>
    <s v="instant"/>
    <n v="2.2000000000000002"/>
    <x v="2"/>
    <n v="7"/>
    <x v="0"/>
    <x v="2"/>
    <n v="463"/>
    <s v="online"/>
    <x v="3"/>
    <x v="1"/>
    <x v="1"/>
  </r>
  <r>
    <n v="444"/>
    <n v="26064"/>
    <x v="4"/>
    <x v="0"/>
    <s v="Mysuru"/>
    <x v="0"/>
    <x v="6"/>
    <s v="100000+"/>
    <x v="0"/>
    <s v="filter"/>
    <n v="0.6"/>
    <x v="2"/>
    <n v="7"/>
    <x v="0"/>
    <x v="0"/>
    <n v="2708"/>
    <s v="online"/>
    <x v="2"/>
    <x v="2"/>
    <x v="0"/>
  </r>
  <r>
    <n v="445"/>
    <n v="66385"/>
    <x v="1"/>
    <x v="1"/>
    <s v="Bengaluru"/>
    <x v="0"/>
    <x v="1"/>
    <s v="&lt;15000"/>
    <x v="0"/>
    <s v="filter"/>
    <n v="1.2"/>
    <x v="2"/>
    <n v="7"/>
    <x v="0"/>
    <x v="0"/>
    <n v="337"/>
    <s v="Cafa"/>
    <x v="1"/>
    <x v="3"/>
    <x v="1"/>
  </r>
  <r>
    <n v="446"/>
    <n v="61344"/>
    <x v="4"/>
    <x v="1"/>
    <s v="Delhi"/>
    <x v="2"/>
    <x v="3"/>
    <s v="100000+"/>
    <x v="4"/>
    <s v="instant"/>
    <n v="2.2000000000000002"/>
    <x v="2"/>
    <n v="7"/>
    <x v="1"/>
    <x v="1"/>
    <n v="1654"/>
    <s v="supermarket"/>
    <x v="0"/>
    <x v="2"/>
    <x v="1"/>
  </r>
  <r>
    <n v="447"/>
    <n v="32418"/>
    <x v="2"/>
    <x v="0"/>
    <s v="Kochi"/>
    <x v="8"/>
    <x v="8"/>
    <s v="60000-100000"/>
    <x v="2"/>
    <s v="filter"/>
    <n v="0.625"/>
    <x v="0"/>
    <n v="1"/>
    <x v="1"/>
    <x v="4"/>
    <n v="1298"/>
    <s v="local store"/>
    <x v="2"/>
    <x v="2"/>
    <x v="2"/>
  </r>
  <r>
    <n v="448"/>
    <n v="67040"/>
    <x v="3"/>
    <x v="0"/>
    <s v="Delhi"/>
    <x v="2"/>
    <x v="7"/>
    <s v="60000-100000"/>
    <x v="1"/>
    <s v="instant"/>
    <n v="1"/>
    <x v="0"/>
    <n v="1"/>
    <x v="1"/>
    <x v="0"/>
    <n v="1225"/>
    <s v="Cafa"/>
    <x v="1"/>
    <x v="3"/>
    <x v="1"/>
  </r>
  <r>
    <n v="449"/>
    <n v="45379"/>
    <x v="4"/>
    <x v="0"/>
    <s v="Jaipur"/>
    <x v="3"/>
    <x v="7"/>
    <s v="&lt;15000"/>
    <x v="1"/>
    <s v="instant"/>
    <n v="2"/>
    <x v="2"/>
    <n v="7"/>
    <x v="0"/>
    <x v="3"/>
    <n v="361"/>
    <s v="local store"/>
    <x v="0"/>
    <x v="0"/>
    <x v="2"/>
  </r>
  <r>
    <n v="450"/>
    <n v="96824"/>
    <x v="2"/>
    <x v="0"/>
    <s v="Nagpur"/>
    <x v="4"/>
    <x v="6"/>
    <s v="60000-100000"/>
    <x v="4"/>
    <s v="filter"/>
    <n v="2.2000000000000002"/>
    <x v="2"/>
    <n v="7"/>
    <x v="2"/>
    <x v="0"/>
    <n v="931"/>
    <s v="Cafa"/>
    <x v="3"/>
    <x v="1"/>
    <x v="2"/>
  </r>
  <r>
    <n v="451"/>
    <n v="23611"/>
    <x v="0"/>
    <x v="1"/>
    <s v="Jaipur"/>
    <x v="3"/>
    <x v="6"/>
    <s v="&lt;15000"/>
    <x v="1"/>
    <s v="cold brew"/>
    <n v="1"/>
    <x v="2"/>
    <n v="7"/>
    <x v="0"/>
    <x v="1"/>
    <n v="331"/>
    <s v="local store"/>
    <x v="1"/>
    <x v="3"/>
    <x v="2"/>
  </r>
  <r>
    <n v="452"/>
    <n v="74912"/>
    <x v="1"/>
    <x v="1"/>
    <s v="Pune"/>
    <x v="4"/>
    <x v="5"/>
    <s v="15000-30000"/>
    <x v="2"/>
    <s v="cold brew"/>
    <n v="0.625"/>
    <x v="2"/>
    <n v="7"/>
    <x v="2"/>
    <x v="5"/>
    <n v="294"/>
    <s v="Cafa"/>
    <x v="2"/>
    <x v="3"/>
    <x v="2"/>
  </r>
  <r>
    <n v="453"/>
    <n v="46895"/>
    <x v="2"/>
    <x v="0"/>
    <s v="Coimbatore"/>
    <x v="6"/>
    <x v="8"/>
    <s v="100000+"/>
    <x v="6"/>
    <s v="filter"/>
    <n v="1.1000000000000001"/>
    <x v="1"/>
    <n v="3"/>
    <x v="1"/>
    <x v="1"/>
    <n v="2069"/>
    <s v="Cafa"/>
    <x v="1"/>
    <x v="0"/>
    <x v="0"/>
  </r>
  <r>
    <n v="454"/>
    <n v="95991"/>
    <x v="1"/>
    <x v="0"/>
    <s v="Vizag"/>
    <x v="7"/>
    <x v="2"/>
    <s v="30000-60000"/>
    <x v="5"/>
    <s v="instant"/>
    <n v="2.2000000000000002"/>
    <x v="2"/>
    <n v="7"/>
    <x v="2"/>
    <x v="4"/>
    <n v="881"/>
    <s v="local store"/>
    <x v="0"/>
    <x v="1"/>
    <x v="0"/>
  </r>
  <r>
    <n v="455"/>
    <n v="68594"/>
    <x v="2"/>
    <x v="0"/>
    <s v="Kolkata"/>
    <x v="5"/>
    <x v="1"/>
    <s v="30000-60000"/>
    <x v="0"/>
    <s v="instant"/>
    <n v="2.4"/>
    <x v="2"/>
    <n v="7"/>
    <x v="1"/>
    <x v="0"/>
    <n v="590"/>
    <s v="local store"/>
    <x v="3"/>
    <x v="1"/>
    <x v="1"/>
  </r>
  <r>
    <n v="456"/>
    <n v="56830"/>
    <x v="2"/>
    <x v="1"/>
    <s v="Hyderabad"/>
    <x v="1"/>
    <x v="0"/>
    <s v="15000-30000"/>
    <x v="2"/>
    <s v="instant"/>
    <n v="0.625"/>
    <x v="1"/>
    <n v="3"/>
    <x v="2"/>
    <x v="5"/>
    <n v="570"/>
    <s v="Cafa"/>
    <x v="2"/>
    <x v="1"/>
    <x v="1"/>
  </r>
  <r>
    <n v="457"/>
    <n v="76604"/>
    <x v="2"/>
    <x v="1"/>
    <s v="Kochi"/>
    <x v="8"/>
    <x v="2"/>
    <s v="&lt;15000"/>
    <x v="0"/>
    <s v="filter"/>
    <n v="1.2"/>
    <x v="1"/>
    <n v="3"/>
    <x v="0"/>
    <x v="0"/>
    <n v="361"/>
    <s v="supermarket"/>
    <x v="1"/>
    <x v="1"/>
    <x v="2"/>
  </r>
  <r>
    <n v="458"/>
    <n v="28467"/>
    <x v="0"/>
    <x v="0"/>
    <s v="Kolkata"/>
    <x v="5"/>
    <x v="0"/>
    <s v="15000-30000"/>
    <x v="6"/>
    <s v="filter"/>
    <n v="2.2000000000000002"/>
    <x v="2"/>
    <n v="7"/>
    <x v="0"/>
    <x v="0"/>
    <n v="323"/>
    <s v="online"/>
    <x v="3"/>
    <x v="0"/>
    <x v="1"/>
  </r>
  <r>
    <n v="459"/>
    <n v="27221"/>
    <x v="0"/>
    <x v="1"/>
    <s v="Vizag"/>
    <x v="7"/>
    <x v="7"/>
    <s v="60000-100000"/>
    <x v="5"/>
    <s v="instant"/>
    <n v="0.55000000000000004"/>
    <x v="0"/>
    <n v="1"/>
    <x v="1"/>
    <x v="1"/>
    <n v="1451"/>
    <s v="supermarket"/>
    <x v="2"/>
    <x v="1"/>
    <x v="0"/>
  </r>
  <r>
    <n v="460"/>
    <n v="89342"/>
    <x v="2"/>
    <x v="0"/>
    <s v="Coimbatore"/>
    <x v="6"/>
    <x v="5"/>
    <s v="&lt;15000"/>
    <x v="2"/>
    <s v="instant"/>
    <n v="2.5"/>
    <x v="2"/>
    <n v="7"/>
    <x v="1"/>
    <x v="2"/>
    <n v="239"/>
    <s v="Cafa"/>
    <x v="3"/>
    <x v="3"/>
    <x v="0"/>
  </r>
  <r>
    <n v="461"/>
    <n v="22948"/>
    <x v="2"/>
    <x v="0"/>
    <s v="Hyderabad"/>
    <x v="1"/>
    <x v="8"/>
    <s v="&lt;15000"/>
    <x v="0"/>
    <s v="instant"/>
    <n v="1.2"/>
    <x v="2"/>
    <n v="7"/>
    <x v="0"/>
    <x v="1"/>
    <n v="256"/>
    <s v="local store"/>
    <x v="1"/>
    <x v="3"/>
    <x v="1"/>
  </r>
  <r>
    <n v="462"/>
    <n v="58138"/>
    <x v="4"/>
    <x v="0"/>
    <s v="Hyderabad"/>
    <x v="1"/>
    <x v="1"/>
    <s v="60000-100000"/>
    <x v="1"/>
    <s v="cold brew"/>
    <n v="2"/>
    <x v="1"/>
    <n v="3"/>
    <x v="2"/>
    <x v="4"/>
    <n v="1196"/>
    <s v="local store"/>
    <x v="3"/>
    <x v="1"/>
    <x v="1"/>
  </r>
  <r>
    <n v="463"/>
    <n v="77122"/>
    <x v="2"/>
    <x v="0"/>
    <s v="Kolkata"/>
    <x v="5"/>
    <x v="1"/>
    <s v="30000-60000"/>
    <x v="0"/>
    <s v="instant"/>
    <n v="2.4"/>
    <x v="2"/>
    <n v="7"/>
    <x v="2"/>
    <x v="1"/>
    <n v="748"/>
    <s v="local store"/>
    <x v="3"/>
    <x v="3"/>
    <x v="1"/>
  </r>
  <r>
    <n v="464"/>
    <n v="49379"/>
    <x v="0"/>
    <x v="1"/>
    <s v="Indore"/>
    <x v="10"/>
    <x v="9"/>
    <s v="60000-100000"/>
    <x v="7"/>
    <s v="instant"/>
    <n v="1.5"/>
    <x v="2"/>
    <n v="7"/>
    <x v="1"/>
    <x v="1"/>
    <n v="1214"/>
    <s v="online"/>
    <x v="3"/>
    <x v="1"/>
    <x v="0"/>
  </r>
  <r>
    <n v="465"/>
    <n v="68509"/>
    <x v="2"/>
    <x v="0"/>
    <s v="Bengaluru"/>
    <x v="0"/>
    <x v="3"/>
    <s v="30000-60000"/>
    <x v="0"/>
    <s v="filter"/>
    <n v="1.2"/>
    <x v="1"/>
    <n v="3"/>
    <x v="2"/>
    <x v="2"/>
    <n v="738"/>
    <s v="online"/>
    <x v="1"/>
    <x v="2"/>
    <x v="1"/>
  </r>
  <r>
    <n v="466"/>
    <n v="32646"/>
    <x v="0"/>
    <x v="0"/>
    <s v="Vizag"/>
    <x v="7"/>
    <x v="7"/>
    <s v="60000-100000"/>
    <x v="3"/>
    <s v="instant"/>
    <n v="2.2000000000000002"/>
    <x v="1"/>
    <n v="3"/>
    <x v="2"/>
    <x v="5"/>
    <n v="970"/>
    <s v="local store"/>
    <x v="3"/>
    <x v="0"/>
    <x v="0"/>
  </r>
  <r>
    <n v="467"/>
    <n v="42455"/>
    <x v="2"/>
    <x v="0"/>
    <s v="Delhi"/>
    <x v="2"/>
    <x v="5"/>
    <s v="&lt;15000"/>
    <x v="0"/>
    <s v="ready-to-drink"/>
    <n v="2.4"/>
    <x v="2"/>
    <n v="7"/>
    <x v="0"/>
    <x v="1"/>
    <n v="191"/>
    <s v="local store"/>
    <x v="0"/>
    <x v="1"/>
    <x v="1"/>
  </r>
  <r>
    <n v="468"/>
    <n v="95254"/>
    <x v="0"/>
    <x v="0"/>
    <s v="Mysuru"/>
    <x v="0"/>
    <x v="3"/>
    <s v="&lt;15000"/>
    <x v="0"/>
    <s v="filter"/>
    <n v="2.4"/>
    <x v="1"/>
    <n v="3"/>
    <x v="1"/>
    <x v="0"/>
    <n v="160"/>
    <s v="online"/>
    <x v="0"/>
    <x v="3"/>
    <x v="0"/>
  </r>
  <r>
    <n v="469"/>
    <n v="62232"/>
    <x v="2"/>
    <x v="0"/>
    <s v="Kochi"/>
    <x v="8"/>
    <x v="5"/>
    <s v="60000-100000"/>
    <x v="2"/>
    <s v="instant"/>
    <n v="2.5"/>
    <x v="2"/>
    <n v="7"/>
    <x v="2"/>
    <x v="0"/>
    <n v="1419"/>
    <s v="Cafa"/>
    <x v="0"/>
    <x v="0"/>
    <x v="2"/>
  </r>
  <r>
    <n v="470"/>
    <n v="71143"/>
    <x v="2"/>
    <x v="1"/>
    <s v="Pune"/>
    <x v="4"/>
    <x v="6"/>
    <s v="30000-60000"/>
    <x v="7"/>
    <s v="espresso"/>
    <n v="1.5"/>
    <x v="1"/>
    <n v="3"/>
    <x v="0"/>
    <x v="3"/>
    <n v="785"/>
    <s v="supermarket"/>
    <x v="3"/>
    <x v="1"/>
    <x v="2"/>
  </r>
  <r>
    <n v="471"/>
    <n v="79343"/>
    <x v="3"/>
    <x v="0"/>
    <s v="Mysuru"/>
    <x v="0"/>
    <x v="7"/>
    <s v="30000-60000"/>
    <x v="0"/>
    <s v="instant"/>
    <n v="2.4"/>
    <x v="2"/>
    <n v="7"/>
    <x v="0"/>
    <x v="1"/>
    <n v="743"/>
    <s v="Cafa"/>
    <x v="0"/>
    <x v="0"/>
    <x v="0"/>
  </r>
  <r>
    <n v="472"/>
    <n v="62398"/>
    <x v="2"/>
    <x v="0"/>
    <s v="Mumbai"/>
    <x v="4"/>
    <x v="6"/>
    <s v="60000-100000"/>
    <x v="3"/>
    <s v="filter"/>
    <n v="2.2000000000000002"/>
    <x v="2"/>
    <n v="7"/>
    <x v="1"/>
    <x v="1"/>
    <n v="1133"/>
    <s v="supermarket"/>
    <x v="3"/>
    <x v="2"/>
    <x v="1"/>
  </r>
  <r>
    <n v="473"/>
    <n v="58239"/>
    <x v="1"/>
    <x v="0"/>
    <s v="Vizag"/>
    <x v="7"/>
    <x v="7"/>
    <s v="30000-60000"/>
    <x v="7"/>
    <s v="instant"/>
    <n v="0.375"/>
    <x v="0"/>
    <n v="1"/>
    <x v="0"/>
    <x v="0"/>
    <n v="768"/>
    <s v="local store"/>
    <x v="2"/>
    <x v="3"/>
    <x v="0"/>
  </r>
  <r>
    <n v="474"/>
    <n v="55381"/>
    <x v="4"/>
    <x v="1"/>
    <s v="Coimbatore"/>
    <x v="6"/>
    <x v="1"/>
    <s v="100000+"/>
    <x v="4"/>
    <s v="cold brew"/>
    <n v="2.2000000000000002"/>
    <x v="2"/>
    <n v="7"/>
    <x v="0"/>
    <x v="1"/>
    <n v="2646"/>
    <s v="Cafa"/>
    <x v="0"/>
    <x v="1"/>
    <x v="0"/>
  </r>
  <r>
    <n v="475"/>
    <n v="81964"/>
    <x v="0"/>
    <x v="0"/>
    <s v="Pune"/>
    <x v="4"/>
    <x v="6"/>
    <s v="30000-60000"/>
    <x v="2"/>
    <s v="filter"/>
    <n v="1.25"/>
    <x v="0"/>
    <n v="1"/>
    <x v="0"/>
    <x v="2"/>
    <n v="553"/>
    <s v="Cafa"/>
    <x v="1"/>
    <x v="0"/>
    <x v="2"/>
  </r>
  <r>
    <n v="476"/>
    <n v="38518"/>
    <x v="1"/>
    <x v="1"/>
    <s v="Nagpur"/>
    <x v="4"/>
    <x v="7"/>
    <s v="30000-60000"/>
    <x v="6"/>
    <s v="instant"/>
    <n v="2.2000000000000002"/>
    <x v="2"/>
    <n v="7"/>
    <x v="0"/>
    <x v="2"/>
    <n v="628"/>
    <s v="supermarket"/>
    <x v="3"/>
    <x v="0"/>
    <x v="2"/>
  </r>
  <r>
    <n v="477"/>
    <n v="97946"/>
    <x v="0"/>
    <x v="0"/>
    <s v="Coimbatore"/>
    <x v="6"/>
    <x v="9"/>
    <s v="60000-100000"/>
    <x v="0"/>
    <s v="filter"/>
    <n v="1.2"/>
    <x v="0"/>
    <n v="1"/>
    <x v="0"/>
    <x v="3"/>
    <n v="1150"/>
    <s v="supermarket"/>
    <x v="1"/>
    <x v="1"/>
    <x v="0"/>
  </r>
  <r>
    <n v="478"/>
    <n v="15378"/>
    <x v="3"/>
    <x v="0"/>
    <s v="Jaipur"/>
    <x v="3"/>
    <x v="5"/>
    <s v="15000-30000"/>
    <x v="4"/>
    <s v="cold brew"/>
    <n v="0.55000000000000004"/>
    <x v="2"/>
    <n v="7"/>
    <x v="1"/>
    <x v="5"/>
    <n v="271"/>
    <s v="supermarket"/>
    <x v="2"/>
    <x v="1"/>
    <x v="2"/>
  </r>
  <r>
    <n v="479"/>
    <n v="30686"/>
    <x v="3"/>
    <x v="0"/>
    <s v="Kochi"/>
    <x v="8"/>
    <x v="2"/>
    <s v="30000-60000"/>
    <x v="0"/>
    <s v="filter"/>
    <n v="2.4"/>
    <x v="2"/>
    <n v="7"/>
    <x v="0"/>
    <x v="1"/>
    <n v="755"/>
    <s v="Cafa"/>
    <x v="3"/>
    <x v="1"/>
    <x v="2"/>
  </r>
  <r>
    <n v="480"/>
    <n v="46232"/>
    <x v="0"/>
    <x v="0"/>
    <s v="Pune"/>
    <x v="4"/>
    <x v="5"/>
    <s v="30000-60000"/>
    <x v="6"/>
    <s v="instant"/>
    <n v="2.2000000000000002"/>
    <x v="2"/>
    <n v="7"/>
    <x v="0"/>
    <x v="3"/>
    <n v="495"/>
    <s v="Cafa"/>
    <x v="3"/>
    <x v="1"/>
    <x v="2"/>
  </r>
  <r>
    <n v="481"/>
    <n v="92113"/>
    <x v="2"/>
    <x v="1"/>
    <s v="Hyderabad"/>
    <x v="1"/>
    <x v="8"/>
    <s v="100000+"/>
    <x v="2"/>
    <s v="instant"/>
    <n v="2.5"/>
    <x v="1"/>
    <n v="3"/>
    <x v="0"/>
    <x v="2"/>
    <n v="2119"/>
    <s v="supermarket"/>
    <x v="3"/>
    <x v="0"/>
    <x v="1"/>
  </r>
  <r>
    <n v="482"/>
    <n v="79643"/>
    <x v="0"/>
    <x v="0"/>
    <s v="Ahmedabad"/>
    <x v="9"/>
    <x v="6"/>
    <s v="100000+"/>
    <x v="6"/>
    <s v="instant"/>
    <n v="2.2000000000000002"/>
    <x v="2"/>
    <n v="7"/>
    <x v="1"/>
    <x v="4"/>
    <n v="2995"/>
    <s v="online"/>
    <x v="0"/>
    <x v="3"/>
    <x v="2"/>
  </r>
  <r>
    <n v="483"/>
    <n v="58494"/>
    <x v="4"/>
    <x v="0"/>
    <s v="Kochi"/>
    <x v="8"/>
    <x v="7"/>
    <s v="30000-60000"/>
    <x v="0"/>
    <s v="filter"/>
    <n v="2.4"/>
    <x v="0"/>
    <n v="1"/>
    <x v="1"/>
    <x v="1"/>
    <n v="690"/>
    <s v="supermarket"/>
    <x v="0"/>
    <x v="2"/>
    <x v="2"/>
  </r>
  <r>
    <n v="484"/>
    <n v="81974"/>
    <x v="3"/>
    <x v="1"/>
    <s v="Delhi"/>
    <x v="2"/>
    <x v="4"/>
    <s v="30000-60000"/>
    <x v="1"/>
    <s v="cold brew"/>
    <n v="0.5"/>
    <x v="2"/>
    <n v="7"/>
    <x v="0"/>
    <x v="1"/>
    <n v="502"/>
    <s v="supermarket"/>
    <x v="2"/>
    <x v="3"/>
    <x v="1"/>
  </r>
  <r>
    <n v="485"/>
    <n v="94472"/>
    <x v="1"/>
    <x v="1"/>
    <s v="Coimbatore"/>
    <x v="6"/>
    <x v="2"/>
    <s v="15000-30000"/>
    <x v="2"/>
    <s v="cold brew"/>
    <n v="2.5"/>
    <x v="2"/>
    <n v="7"/>
    <x v="1"/>
    <x v="0"/>
    <n v="344"/>
    <s v="local store"/>
    <x v="3"/>
    <x v="0"/>
    <x v="0"/>
  </r>
  <r>
    <n v="486"/>
    <n v="33313"/>
    <x v="2"/>
    <x v="1"/>
    <s v="Chennai"/>
    <x v="6"/>
    <x v="3"/>
    <s v="30000-60000"/>
    <x v="0"/>
    <s v="filter"/>
    <n v="1.2"/>
    <x v="2"/>
    <n v="7"/>
    <x v="2"/>
    <x v="0"/>
    <n v="519"/>
    <s v="online"/>
    <x v="1"/>
    <x v="0"/>
    <x v="1"/>
  </r>
  <r>
    <n v="487"/>
    <n v="64308"/>
    <x v="1"/>
    <x v="1"/>
    <s v="Bengaluru"/>
    <x v="0"/>
    <x v="7"/>
    <s v="30000-60000"/>
    <x v="0"/>
    <s v="filter"/>
    <n v="2.4"/>
    <x v="2"/>
    <n v="7"/>
    <x v="2"/>
    <x v="1"/>
    <n v="729"/>
    <s v="online"/>
    <x v="3"/>
    <x v="0"/>
    <x v="1"/>
  </r>
  <r>
    <n v="488"/>
    <n v="29257"/>
    <x v="2"/>
    <x v="1"/>
    <s v="Coimbatore"/>
    <x v="6"/>
    <x v="7"/>
    <s v="15000-30000"/>
    <x v="0"/>
    <s v="filter"/>
    <n v="2.4"/>
    <x v="2"/>
    <n v="7"/>
    <x v="0"/>
    <x v="1"/>
    <n v="377"/>
    <s v="Cafa"/>
    <x v="3"/>
    <x v="2"/>
    <x v="0"/>
  </r>
  <r>
    <n v="489"/>
    <n v="15495"/>
    <x v="2"/>
    <x v="0"/>
    <s v="Ahmedabad"/>
    <x v="9"/>
    <x v="8"/>
    <s v="&lt;15000"/>
    <x v="1"/>
    <s v="instant"/>
    <n v="1"/>
    <x v="2"/>
    <n v="7"/>
    <x v="0"/>
    <x v="1"/>
    <n v="168"/>
    <s v="Cafa"/>
    <x v="1"/>
    <x v="3"/>
    <x v="2"/>
  </r>
  <r>
    <n v="490"/>
    <n v="95944"/>
    <x v="4"/>
    <x v="1"/>
    <s v="Hyderabad"/>
    <x v="1"/>
    <x v="7"/>
    <s v="60000-100000"/>
    <x v="6"/>
    <s v="ready-to-drink"/>
    <n v="2.2000000000000002"/>
    <x v="1"/>
    <n v="3"/>
    <x v="0"/>
    <x v="3"/>
    <n v="1270"/>
    <s v="local store"/>
    <x v="0"/>
    <x v="2"/>
    <x v="1"/>
  </r>
  <r>
    <n v="491"/>
    <n v="23361"/>
    <x v="4"/>
    <x v="0"/>
    <s v="Indore"/>
    <x v="10"/>
    <x v="5"/>
    <s v="15000-30000"/>
    <x v="7"/>
    <s v="instant"/>
    <n v="0.375"/>
    <x v="2"/>
    <n v="7"/>
    <x v="1"/>
    <x v="1"/>
    <n v="440"/>
    <s v="Cafa"/>
    <x v="2"/>
    <x v="0"/>
    <x v="0"/>
  </r>
  <r>
    <n v="492"/>
    <n v="29686"/>
    <x v="2"/>
    <x v="1"/>
    <s v="Ahmedabad"/>
    <x v="9"/>
    <x v="5"/>
    <s v="60000-100000"/>
    <x v="3"/>
    <s v="instant"/>
    <n v="2.2000000000000002"/>
    <x v="1"/>
    <n v="3"/>
    <x v="2"/>
    <x v="1"/>
    <n v="1392"/>
    <s v="supermarket"/>
    <x v="0"/>
    <x v="1"/>
    <x v="2"/>
  </r>
  <r>
    <n v="493"/>
    <n v="63250"/>
    <x v="1"/>
    <x v="0"/>
    <s v="Ahmedabad"/>
    <x v="9"/>
    <x v="7"/>
    <s v="60000-100000"/>
    <x v="2"/>
    <s v="cold brew"/>
    <n v="2.5"/>
    <x v="1"/>
    <n v="3"/>
    <x v="1"/>
    <x v="4"/>
    <n v="1033"/>
    <s v="Cafa"/>
    <x v="3"/>
    <x v="1"/>
    <x v="2"/>
  </r>
  <r>
    <n v="494"/>
    <n v="86072"/>
    <x v="0"/>
    <x v="0"/>
    <s v="Mumbai"/>
    <x v="4"/>
    <x v="1"/>
    <s v="60000-100000"/>
    <x v="0"/>
    <s v="instant"/>
    <n v="0.6"/>
    <x v="1"/>
    <n v="3"/>
    <x v="1"/>
    <x v="2"/>
    <n v="1336"/>
    <s v="online"/>
    <x v="2"/>
    <x v="1"/>
    <x v="1"/>
  </r>
  <r>
    <n v="495"/>
    <n v="74767"/>
    <x v="1"/>
    <x v="0"/>
    <s v="Coimbatore"/>
    <x v="6"/>
    <x v="6"/>
    <s v="60000-100000"/>
    <x v="0"/>
    <s v="espresso"/>
    <n v="1.2"/>
    <x v="2"/>
    <n v="7"/>
    <x v="1"/>
    <x v="5"/>
    <n v="859"/>
    <s v="local store"/>
    <x v="1"/>
    <x v="1"/>
    <x v="0"/>
  </r>
  <r>
    <n v="496"/>
    <n v="69198"/>
    <x v="4"/>
    <x v="1"/>
    <s v="Pune"/>
    <x v="4"/>
    <x v="3"/>
    <s v="60000-100000"/>
    <x v="7"/>
    <s v="instant"/>
    <n v="0.75"/>
    <x v="1"/>
    <n v="3"/>
    <x v="0"/>
    <x v="3"/>
    <n v="1126"/>
    <s v="Cafa"/>
    <x v="1"/>
    <x v="3"/>
    <x v="2"/>
  </r>
  <r>
    <n v="497"/>
    <n v="89918"/>
    <x v="2"/>
    <x v="0"/>
    <s v="Hyderabad"/>
    <x v="1"/>
    <x v="4"/>
    <s v="60000-100000"/>
    <x v="4"/>
    <s v="filter"/>
    <n v="0.55000000000000004"/>
    <x v="2"/>
    <n v="7"/>
    <x v="1"/>
    <x v="1"/>
    <n v="1289"/>
    <s v="supermarket"/>
    <x v="2"/>
    <x v="0"/>
    <x v="1"/>
  </r>
  <r>
    <n v="498"/>
    <n v="85502"/>
    <x v="1"/>
    <x v="0"/>
    <s v="Pune"/>
    <x v="4"/>
    <x v="1"/>
    <s v="15000-30000"/>
    <x v="2"/>
    <s v="instant"/>
    <n v="2.5"/>
    <x v="2"/>
    <n v="7"/>
    <x v="2"/>
    <x v="2"/>
    <n v="262"/>
    <s v="local store"/>
    <x v="3"/>
    <x v="0"/>
    <x v="2"/>
  </r>
  <r>
    <n v="499"/>
    <n v="98443"/>
    <x v="0"/>
    <x v="0"/>
    <s v="Kolkata"/>
    <x v="5"/>
    <x v="2"/>
    <s v="60000-100000"/>
    <x v="7"/>
    <s v="instant"/>
    <n v="1.5"/>
    <x v="2"/>
    <n v="7"/>
    <x v="1"/>
    <x v="0"/>
    <n v="814"/>
    <s v="local store"/>
    <x v="0"/>
    <x v="2"/>
    <x v="1"/>
  </r>
  <r>
    <n v="500"/>
    <n v="99193"/>
    <x v="1"/>
    <x v="1"/>
    <s v="Pune"/>
    <x v="4"/>
    <x v="6"/>
    <s v="15000-30000"/>
    <x v="0"/>
    <s v="filter"/>
    <n v="2.4"/>
    <x v="2"/>
    <n v="7"/>
    <x v="0"/>
    <x v="2"/>
    <n v="394"/>
    <s v="local store"/>
    <x v="3"/>
    <x v="3"/>
    <x v="2"/>
  </r>
  <r>
    <n v="501"/>
    <n v="18799"/>
    <x v="1"/>
    <x v="1"/>
    <s v="Vizag"/>
    <x v="7"/>
    <x v="1"/>
    <s v="15000-30000"/>
    <x v="5"/>
    <s v="filter"/>
    <n v="2.2000000000000002"/>
    <x v="2"/>
    <n v="7"/>
    <x v="1"/>
    <x v="0"/>
    <n v="464"/>
    <s v="local store"/>
    <x v="3"/>
    <x v="0"/>
    <x v="0"/>
  </r>
  <r>
    <n v="502"/>
    <n v="49040"/>
    <x v="2"/>
    <x v="1"/>
    <s v="Delhi"/>
    <x v="2"/>
    <x v="2"/>
    <s v="15000-30000"/>
    <x v="0"/>
    <s v="instant"/>
    <n v="2.4"/>
    <x v="2"/>
    <n v="7"/>
    <x v="0"/>
    <x v="1"/>
    <n v="568"/>
    <s v="online"/>
    <x v="0"/>
    <x v="0"/>
    <x v="1"/>
  </r>
  <r>
    <n v="503"/>
    <n v="50966"/>
    <x v="1"/>
    <x v="0"/>
    <s v="Hyderabad"/>
    <x v="1"/>
    <x v="3"/>
    <s v="60000-100000"/>
    <x v="2"/>
    <s v="cold brew"/>
    <n v="1.25"/>
    <x v="2"/>
    <n v="7"/>
    <x v="0"/>
    <x v="5"/>
    <n v="973"/>
    <s v="supermarket"/>
    <x v="1"/>
    <x v="1"/>
    <x v="1"/>
  </r>
  <r>
    <n v="504"/>
    <n v="94282"/>
    <x v="1"/>
    <x v="0"/>
    <s v="Kochi"/>
    <x v="8"/>
    <x v="3"/>
    <s v="60000-100000"/>
    <x v="2"/>
    <s v="cold brew"/>
    <n v="0.625"/>
    <x v="0"/>
    <n v="1"/>
    <x v="2"/>
    <x v="4"/>
    <n v="1436"/>
    <s v="online"/>
    <x v="2"/>
    <x v="0"/>
    <x v="2"/>
  </r>
  <r>
    <n v="505"/>
    <n v="19565"/>
    <x v="1"/>
    <x v="0"/>
    <s v="Chennai"/>
    <x v="6"/>
    <x v="9"/>
    <s v="30000-60000"/>
    <x v="1"/>
    <s v="instant"/>
    <n v="1"/>
    <x v="2"/>
    <n v="7"/>
    <x v="1"/>
    <x v="3"/>
    <n v="549"/>
    <s v="Cafa"/>
    <x v="1"/>
    <x v="0"/>
    <x v="1"/>
  </r>
  <r>
    <n v="506"/>
    <n v="55852"/>
    <x v="0"/>
    <x v="0"/>
    <s v="Coimbatore"/>
    <x v="6"/>
    <x v="6"/>
    <s v="60000-100000"/>
    <x v="7"/>
    <s v="instant"/>
    <n v="0.375"/>
    <x v="2"/>
    <n v="7"/>
    <x v="0"/>
    <x v="0"/>
    <n v="1122"/>
    <s v="online"/>
    <x v="2"/>
    <x v="1"/>
    <x v="0"/>
  </r>
  <r>
    <n v="507"/>
    <n v="10358"/>
    <x v="3"/>
    <x v="0"/>
    <s v="Jaipur"/>
    <x v="3"/>
    <x v="2"/>
    <s v="15000-30000"/>
    <x v="1"/>
    <s v="instant"/>
    <n v="1"/>
    <x v="0"/>
    <n v="1"/>
    <x v="0"/>
    <x v="1"/>
    <n v="347"/>
    <s v="online"/>
    <x v="1"/>
    <x v="3"/>
    <x v="2"/>
  </r>
  <r>
    <n v="508"/>
    <n v="73822"/>
    <x v="1"/>
    <x v="1"/>
    <s v="Delhi"/>
    <x v="2"/>
    <x v="5"/>
    <s v="15000-30000"/>
    <x v="2"/>
    <s v="cold brew"/>
    <n v="2.5"/>
    <x v="2"/>
    <n v="7"/>
    <x v="0"/>
    <x v="4"/>
    <n v="365"/>
    <s v="online"/>
    <x v="3"/>
    <x v="1"/>
    <x v="1"/>
  </r>
  <r>
    <n v="509"/>
    <n v="21985"/>
    <x v="1"/>
    <x v="1"/>
    <s v="Vizag"/>
    <x v="7"/>
    <x v="0"/>
    <s v="30000-60000"/>
    <x v="3"/>
    <s v="instant"/>
    <n v="1.1000000000000001"/>
    <x v="0"/>
    <n v="1"/>
    <x v="0"/>
    <x v="4"/>
    <n v="666"/>
    <s v="local store"/>
    <x v="1"/>
    <x v="3"/>
    <x v="0"/>
  </r>
  <r>
    <n v="510"/>
    <n v="78326"/>
    <x v="2"/>
    <x v="0"/>
    <s v="Ahmedabad"/>
    <x v="9"/>
    <x v="7"/>
    <s v="&lt;15000"/>
    <x v="7"/>
    <s v="filter"/>
    <n v="1.5"/>
    <x v="2"/>
    <n v="7"/>
    <x v="0"/>
    <x v="5"/>
    <n v="374"/>
    <s v="supermarket"/>
    <x v="3"/>
    <x v="1"/>
    <x v="2"/>
  </r>
  <r>
    <n v="511"/>
    <n v="53701"/>
    <x v="3"/>
    <x v="1"/>
    <s v="Coimbatore"/>
    <x v="6"/>
    <x v="9"/>
    <s v="15000-30000"/>
    <x v="5"/>
    <s v="filter"/>
    <n v="0.55000000000000004"/>
    <x v="2"/>
    <n v="7"/>
    <x v="2"/>
    <x v="1"/>
    <n v="555"/>
    <s v="supermarket"/>
    <x v="2"/>
    <x v="0"/>
    <x v="0"/>
  </r>
  <r>
    <n v="512"/>
    <n v="70644"/>
    <x v="1"/>
    <x v="0"/>
    <s v="Delhi"/>
    <x v="2"/>
    <x v="3"/>
    <s v="60000-100000"/>
    <x v="2"/>
    <s v="cold brew"/>
    <n v="0.625"/>
    <x v="1"/>
    <n v="3"/>
    <x v="0"/>
    <x v="0"/>
    <n v="1196"/>
    <s v="local store"/>
    <x v="2"/>
    <x v="0"/>
    <x v="1"/>
  </r>
  <r>
    <n v="513"/>
    <n v="30728"/>
    <x v="4"/>
    <x v="0"/>
    <s v="Chennai"/>
    <x v="6"/>
    <x v="5"/>
    <s v="&lt;15000"/>
    <x v="0"/>
    <s v="filter"/>
    <n v="2.4"/>
    <x v="2"/>
    <n v="7"/>
    <x v="1"/>
    <x v="4"/>
    <n v="193"/>
    <s v="Cafa"/>
    <x v="0"/>
    <x v="3"/>
    <x v="1"/>
  </r>
  <r>
    <n v="514"/>
    <n v="58445"/>
    <x v="0"/>
    <x v="1"/>
    <s v="Vizag"/>
    <x v="7"/>
    <x v="9"/>
    <s v="&lt;15000"/>
    <x v="0"/>
    <s v="ready-to-drink"/>
    <n v="1.2"/>
    <x v="0"/>
    <n v="1"/>
    <x v="0"/>
    <x v="1"/>
    <n v="343"/>
    <s v="local store"/>
    <x v="1"/>
    <x v="0"/>
    <x v="0"/>
  </r>
  <r>
    <n v="515"/>
    <n v="72054"/>
    <x v="4"/>
    <x v="0"/>
    <s v="Mysuru"/>
    <x v="0"/>
    <x v="8"/>
    <s v="&lt;15000"/>
    <x v="0"/>
    <s v="filter"/>
    <n v="2.4"/>
    <x v="2"/>
    <n v="7"/>
    <x v="2"/>
    <x v="4"/>
    <n v="363"/>
    <s v="Cafa"/>
    <x v="0"/>
    <x v="2"/>
    <x v="0"/>
  </r>
  <r>
    <n v="516"/>
    <n v="16570"/>
    <x v="1"/>
    <x v="0"/>
    <s v="Jaipur"/>
    <x v="3"/>
    <x v="7"/>
    <s v="&lt;15000"/>
    <x v="2"/>
    <s v="cold brew"/>
    <n v="2.5"/>
    <x v="2"/>
    <n v="7"/>
    <x v="1"/>
    <x v="4"/>
    <n v="371"/>
    <s v="online"/>
    <x v="0"/>
    <x v="0"/>
    <x v="2"/>
  </r>
  <r>
    <n v="517"/>
    <n v="41856"/>
    <x v="1"/>
    <x v="0"/>
    <s v="Kochi"/>
    <x v="8"/>
    <x v="7"/>
    <s v="15000-30000"/>
    <x v="0"/>
    <s v="filter"/>
    <n v="0.6"/>
    <x v="2"/>
    <n v="7"/>
    <x v="0"/>
    <x v="4"/>
    <n v="429"/>
    <s v="supermarket"/>
    <x v="2"/>
    <x v="1"/>
    <x v="2"/>
  </r>
  <r>
    <n v="518"/>
    <n v="99859"/>
    <x v="1"/>
    <x v="0"/>
    <s v="Mumbai"/>
    <x v="4"/>
    <x v="3"/>
    <s v="100000+"/>
    <x v="2"/>
    <s v="cold brew"/>
    <n v="2.5"/>
    <x v="2"/>
    <n v="7"/>
    <x v="0"/>
    <x v="0"/>
    <n v="1296"/>
    <s v="online"/>
    <x v="0"/>
    <x v="2"/>
    <x v="1"/>
  </r>
  <r>
    <n v="519"/>
    <n v="75222"/>
    <x v="0"/>
    <x v="0"/>
    <s v="Bengaluru"/>
    <x v="0"/>
    <x v="9"/>
    <s v="60000-100000"/>
    <x v="3"/>
    <s v="ready-to-drink"/>
    <n v="2.2000000000000002"/>
    <x v="1"/>
    <n v="3"/>
    <x v="2"/>
    <x v="4"/>
    <n v="1331"/>
    <s v="Cafa"/>
    <x v="3"/>
    <x v="1"/>
    <x v="1"/>
  </r>
  <r>
    <n v="520"/>
    <n v="99225"/>
    <x v="2"/>
    <x v="0"/>
    <s v="Pune"/>
    <x v="4"/>
    <x v="3"/>
    <s v="15000-30000"/>
    <x v="7"/>
    <s v="instant"/>
    <n v="1.5"/>
    <x v="2"/>
    <n v="7"/>
    <x v="1"/>
    <x v="5"/>
    <n v="351"/>
    <s v="Cafa"/>
    <x v="0"/>
    <x v="1"/>
    <x v="2"/>
  </r>
  <r>
    <n v="521"/>
    <n v="80956"/>
    <x v="2"/>
    <x v="0"/>
    <s v="Bengaluru"/>
    <x v="0"/>
    <x v="5"/>
    <s v="15000-30000"/>
    <x v="0"/>
    <s v="filter"/>
    <n v="2.4"/>
    <x v="1"/>
    <n v="3"/>
    <x v="0"/>
    <x v="0"/>
    <n v="412"/>
    <s v="local store"/>
    <x v="0"/>
    <x v="1"/>
    <x v="1"/>
  </r>
  <r>
    <n v="522"/>
    <n v="13134"/>
    <x v="1"/>
    <x v="1"/>
    <s v="Indore"/>
    <x v="10"/>
    <x v="8"/>
    <s v="60000-100000"/>
    <x v="0"/>
    <s v="espresso"/>
    <n v="2.4"/>
    <x v="2"/>
    <n v="7"/>
    <x v="0"/>
    <x v="4"/>
    <n v="1420"/>
    <s v="online"/>
    <x v="3"/>
    <x v="0"/>
    <x v="0"/>
  </r>
  <r>
    <n v="523"/>
    <n v="87568"/>
    <x v="2"/>
    <x v="1"/>
    <s v="Kochi"/>
    <x v="8"/>
    <x v="9"/>
    <s v="30000-60000"/>
    <x v="0"/>
    <s v="filter"/>
    <n v="2.4"/>
    <x v="2"/>
    <n v="7"/>
    <x v="1"/>
    <x v="5"/>
    <n v="662"/>
    <s v="supermarket"/>
    <x v="0"/>
    <x v="3"/>
    <x v="2"/>
  </r>
  <r>
    <n v="524"/>
    <n v="16542"/>
    <x v="4"/>
    <x v="1"/>
    <s v="Delhi"/>
    <x v="2"/>
    <x v="6"/>
    <s v="&lt;15000"/>
    <x v="2"/>
    <s v="espresso"/>
    <n v="2.5"/>
    <x v="0"/>
    <n v="1"/>
    <x v="1"/>
    <x v="1"/>
    <n v="369"/>
    <s v="supermarket"/>
    <x v="3"/>
    <x v="3"/>
    <x v="1"/>
  </r>
  <r>
    <n v="525"/>
    <n v="43010"/>
    <x v="2"/>
    <x v="1"/>
    <s v="Mumbai"/>
    <x v="4"/>
    <x v="5"/>
    <s v="30000-60000"/>
    <x v="2"/>
    <s v="ready-to-drink"/>
    <n v="2.5"/>
    <x v="0"/>
    <n v="1"/>
    <x v="1"/>
    <x v="4"/>
    <n v="436"/>
    <s v="online"/>
    <x v="0"/>
    <x v="0"/>
    <x v="1"/>
  </r>
  <r>
    <n v="526"/>
    <n v="79948"/>
    <x v="0"/>
    <x v="1"/>
    <s v="Indore"/>
    <x v="10"/>
    <x v="4"/>
    <s v="15000-30000"/>
    <x v="5"/>
    <s v="ready-to-drink"/>
    <n v="0.55000000000000004"/>
    <x v="1"/>
    <n v="3"/>
    <x v="0"/>
    <x v="0"/>
    <n v="452"/>
    <s v="supermarket"/>
    <x v="2"/>
    <x v="2"/>
    <x v="0"/>
  </r>
  <r>
    <n v="527"/>
    <n v="85187"/>
    <x v="2"/>
    <x v="0"/>
    <s v="Hyderabad"/>
    <x v="1"/>
    <x v="5"/>
    <s v="60000-100000"/>
    <x v="0"/>
    <s v="instant"/>
    <n v="2.4"/>
    <x v="2"/>
    <n v="7"/>
    <x v="0"/>
    <x v="0"/>
    <n v="1170"/>
    <s v="online"/>
    <x v="3"/>
    <x v="1"/>
    <x v="1"/>
  </r>
  <r>
    <n v="528"/>
    <n v="67175"/>
    <x v="4"/>
    <x v="0"/>
    <s v="Mysuru"/>
    <x v="0"/>
    <x v="7"/>
    <s v="30000-60000"/>
    <x v="0"/>
    <s v="filter"/>
    <n v="2.4"/>
    <x v="1"/>
    <n v="3"/>
    <x v="1"/>
    <x v="1"/>
    <n v="409"/>
    <s v="Cafa"/>
    <x v="3"/>
    <x v="2"/>
    <x v="0"/>
  </r>
  <r>
    <n v="529"/>
    <n v="31428"/>
    <x v="2"/>
    <x v="1"/>
    <s v="Jaipur"/>
    <x v="3"/>
    <x v="9"/>
    <s v="30000-60000"/>
    <x v="1"/>
    <s v="espresso"/>
    <n v="1"/>
    <x v="1"/>
    <n v="3"/>
    <x v="1"/>
    <x v="1"/>
    <n v="544"/>
    <s v="Cafa"/>
    <x v="1"/>
    <x v="2"/>
    <x v="2"/>
  </r>
  <r>
    <n v="530"/>
    <n v="27444"/>
    <x v="3"/>
    <x v="1"/>
    <s v="Mysuru"/>
    <x v="0"/>
    <x v="8"/>
    <s v="15000-30000"/>
    <x v="0"/>
    <s v="filter"/>
    <n v="2.4"/>
    <x v="2"/>
    <n v="7"/>
    <x v="1"/>
    <x v="1"/>
    <n v="398"/>
    <s v="Cafa"/>
    <x v="3"/>
    <x v="0"/>
    <x v="0"/>
  </r>
  <r>
    <n v="531"/>
    <n v="54755"/>
    <x v="0"/>
    <x v="0"/>
    <s v="Chennai"/>
    <x v="6"/>
    <x v="3"/>
    <s v="15000-30000"/>
    <x v="1"/>
    <s v="instant"/>
    <n v="0.5"/>
    <x v="2"/>
    <n v="7"/>
    <x v="2"/>
    <x v="3"/>
    <n v="273"/>
    <s v="Cafa"/>
    <x v="2"/>
    <x v="1"/>
    <x v="1"/>
  </r>
  <r>
    <n v="532"/>
    <n v="51915"/>
    <x v="3"/>
    <x v="1"/>
    <s v="Pune"/>
    <x v="4"/>
    <x v="1"/>
    <s v="15000-30000"/>
    <x v="1"/>
    <s v="instant"/>
    <n v="2"/>
    <x v="1"/>
    <n v="3"/>
    <x v="2"/>
    <x v="3"/>
    <n v="470"/>
    <s v="supermarket"/>
    <x v="3"/>
    <x v="0"/>
    <x v="2"/>
  </r>
  <r>
    <n v="533"/>
    <n v="30933"/>
    <x v="3"/>
    <x v="1"/>
    <s v="Kochi"/>
    <x v="8"/>
    <x v="0"/>
    <s v="30000-60000"/>
    <x v="0"/>
    <s v="filter"/>
    <n v="0.6"/>
    <x v="2"/>
    <n v="7"/>
    <x v="0"/>
    <x v="0"/>
    <n v="777"/>
    <s v="local store"/>
    <x v="2"/>
    <x v="2"/>
    <x v="2"/>
  </r>
  <r>
    <n v="534"/>
    <n v="18504"/>
    <x v="0"/>
    <x v="1"/>
    <s v="Jaipur"/>
    <x v="3"/>
    <x v="2"/>
    <s v="15000-30000"/>
    <x v="2"/>
    <s v="espresso"/>
    <n v="2.5"/>
    <x v="2"/>
    <n v="7"/>
    <x v="2"/>
    <x v="4"/>
    <n v="500"/>
    <s v="local store"/>
    <x v="3"/>
    <x v="1"/>
    <x v="2"/>
  </r>
  <r>
    <n v="535"/>
    <n v="46147"/>
    <x v="1"/>
    <x v="1"/>
    <s v="Nagpur"/>
    <x v="4"/>
    <x v="6"/>
    <s v="60000-100000"/>
    <x v="3"/>
    <s v="instant"/>
    <n v="1.1000000000000001"/>
    <x v="2"/>
    <n v="7"/>
    <x v="1"/>
    <x v="2"/>
    <n v="1216"/>
    <s v="online"/>
    <x v="1"/>
    <x v="1"/>
    <x v="2"/>
  </r>
  <r>
    <n v="536"/>
    <n v="81854"/>
    <x v="3"/>
    <x v="1"/>
    <s v="Hyderabad"/>
    <x v="1"/>
    <x v="4"/>
    <s v="15000-30000"/>
    <x v="1"/>
    <s v="instant"/>
    <n v="2"/>
    <x v="0"/>
    <n v="1"/>
    <x v="1"/>
    <x v="5"/>
    <n v="496"/>
    <s v="online"/>
    <x v="0"/>
    <x v="2"/>
    <x v="1"/>
  </r>
  <r>
    <n v="537"/>
    <n v="93413"/>
    <x v="1"/>
    <x v="0"/>
    <s v="Delhi"/>
    <x v="2"/>
    <x v="1"/>
    <s v="30000-60000"/>
    <x v="2"/>
    <s v="cold brew"/>
    <n v="2.5"/>
    <x v="2"/>
    <n v="7"/>
    <x v="1"/>
    <x v="1"/>
    <n v="475"/>
    <s v="online"/>
    <x v="0"/>
    <x v="2"/>
    <x v="1"/>
  </r>
  <r>
    <n v="538"/>
    <n v="43977"/>
    <x v="2"/>
    <x v="1"/>
    <s v="Hyderabad"/>
    <x v="1"/>
    <x v="8"/>
    <s v="30000-60000"/>
    <x v="4"/>
    <s v="instant"/>
    <n v="1.1000000000000001"/>
    <x v="2"/>
    <n v="7"/>
    <x v="2"/>
    <x v="0"/>
    <n v="536"/>
    <s v="supermarket"/>
    <x v="1"/>
    <x v="1"/>
    <x v="1"/>
  </r>
  <r>
    <n v="539"/>
    <n v="39334"/>
    <x v="0"/>
    <x v="1"/>
    <s v="Nagpur"/>
    <x v="4"/>
    <x v="8"/>
    <s v="30000-60000"/>
    <x v="3"/>
    <s v="espresso"/>
    <n v="2.2000000000000002"/>
    <x v="2"/>
    <n v="7"/>
    <x v="2"/>
    <x v="3"/>
    <n v="580"/>
    <s v="Cafa"/>
    <x v="0"/>
    <x v="2"/>
    <x v="2"/>
  </r>
  <r>
    <n v="540"/>
    <n v="82677"/>
    <x v="0"/>
    <x v="1"/>
    <s v="Kolkata"/>
    <x v="5"/>
    <x v="9"/>
    <s v="30000-60000"/>
    <x v="6"/>
    <s v="instant"/>
    <n v="2.2000000000000002"/>
    <x v="1"/>
    <n v="3"/>
    <x v="1"/>
    <x v="1"/>
    <n v="666"/>
    <s v="online"/>
    <x v="3"/>
    <x v="3"/>
    <x v="1"/>
  </r>
  <r>
    <n v="541"/>
    <n v="22608"/>
    <x v="2"/>
    <x v="0"/>
    <s v="Jaipur"/>
    <x v="3"/>
    <x v="4"/>
    <s v="100000+"/>
    <x v="2"/>
    <s v="instant"/>
    <n v="2.5"/>
    <x v="2"/>
    <n v="7"/>
    <x v="0"/>
    <x v="0"/>
    <n v="2864"/>
    <s v="online"/>
    <x v="0"/>
    <x v="0"/>
    <x v="2"/>
  </r>
  <r>
    <n v="542"/>
    <n v="67884"/>
    <x v="1"/>
    <x v="1"/>
    <s v="Chennai"/>
    <x v="6"/>
    <x v="3"/>
    <s v="60000-100000"/>
    <x v="0"/>
    <s v="filter"/>
    <n v="0.6"/>
    <x v="1"/>
    <n v="3"/>
    <x v="2"/>
    <x v="1"/>
    <n v="1312"/>
    <s v="supermarket"/>
    <x v="2"/>
    <x v="2"/>
    <x v="1"/>
  </r>
  <r>
    <n v="543"/>
    <n v="60479"/>
    <x v="0"/>
    <x v="0"/>
    <s v="Kolkata"/>
    <x v="5"/>
    <x v="9"/>
    <s v="15000-30000"/>
    <x v="2"/>
    <s v="instant"/>
    <n v="2.5"/>
    <x v="2"/>
    <n v="7"/>
    <x v="0"/>
    <x v="0"/>
    <n v="387"/>
    <s v="online"/>
    <x v="0"/>
    <x v="1"/>
    <x v="1"/>
  </r>
  <r>
    <n v="544"/>
    <n v="43876"/>
    <x v="4"/>
    <x v="1"/>
    <s v="Chennai"/>
    <x v="6"/>
    <x v="1"/>
    <s v="15000-30000"/>
    <x v="0"/>
    <s v="filter"/>
    <n v="0.6"/>
    <x v="0"/>
    <n v="1"/>
    <x v="0"/>
    <x v="4"/>
    <n v="514"/>
    <s v="supermarket"/>
    <x v="2"/>
    <x v="2"/>
    <x v="1"/>
  </r>
  <r>
    <n v="545"/>
    <n v="26505"/>
    <x v="0"/>
    <x v="1"/>
    <s v="Ahmedabad"/>
    <x v="9"/>
    <x v="9"/>
    <s v="30000-60000"/>
    <x v="4"/>
    <s v="espresso"/>
    <n v="2.2000000000000002"/>
    <x v="2"/>
    <n v="7"/>
    <x v="0"/>
    <x v="1"/>
    <n v="793"/>
    <s v="local store"/>
    <x v="0"/>
    <x v="2"/>
    <x v="2"/>
  </r>
  <r>
    <n v="546"/>
    <n v="17338"/>
    <x v="1"/>
    <x v="1"/>
    <s v="Jaipur"/>
    <x v="3"/>
    <x v="2"/>
    <s v="&lt;15000"/>
    <x v="6"/>
    <s v="instant"/>
    <n v="1.1000000000000001"/>
    <x v="2"/>
    <n v="7"/>
    <x v="0"/>
    <x v="0"/>
    <n v="218"/>
    <s v="Cafa"/>
    <x v="1"/>
    <x v="1"/>
    <x v="2"/>
  </r>
  <r>
    <n v="547"/>
    <n v="84108"/>
    <x v="2"/>
    <x v="1"/>
    <s v="Chennai"/>
    <x v="6"/>
    <x v="3"/>
    <s v="&lt;15000"/>
    <x v="6"/>
    <s v="filter"/>
    <n v="1.1000000000000001"/>
    <x v="2"/>
    <n v="7"/>
    <x v="0"/>
    <x v="2"/>
    <n v="390"/>
    <s v="online"/>
    <x v="1"/>
    <x v="0"/>
    <x v="1"/>
  </r>
  <r>
    <n v="548"/>
    <n v="69962"/>
    <x v="2"/>
    <x v="0"/>
    <s v="Mysuru"/>
    <x v="0"/>
    <x v="3"/>
    <s v="15000-30000"/>
    <x v="1"/>
    <s v="instant"/>
    <n v="1"/>
    <x v="2"/>
    <n v="7"/>
    <x v="1"/>
    <x v="4"/>
    <n v="271"/>
    <s v="Cafa"/>
    <x v="1"/>
    <x v="2"/>
    <x v="0"/>
  </r>
  <r>
    <n v="549"/>
    <n v="72145"/>
    <x v="3"/>
    <x v="0"/>
    <s v="Hyderabad"/>
    <x v="1"/>
    <x v="1"/>
    <s v="&lt;15000"/>
    <x v="7"/>
    <s v="filter"/>
    <n v="1.5"/>
    <x v="2"/>
    <n v="7"/>
    <x v="0"/>
    <x v="1"/>
    <n v="238"/>
    <s v="Cafa"/>
    <x v="0"/>
    <x v="3"/>
    <x v="1"/>
  </r>
  <r>
    <n v="550"/>
    <n v="95289"/>
    <x v="3"/>
    <x v="0"/>
    <s v="Indore"/>
    <x v="10"/>
    <x v="0"/>
    <s v="15000-30000"/>
    <x v="3"/>
    <s v="cold brew"/>
    <n v="2.2000000000000002"/>
    <x v="2"/>
    <n v="7"/>
    <x v="0"/>
    <x v="0"/>
    <n v="291"/>
    <s v="online"/>
    <x v="3"/>
    <x v="0"/>
    <x v="0"/>
  </r>
  <r>
    <n v="551"/>
    <n v="54297"/>
    <x v="1"/>
    <x v="1"/>
    <s v="Hyderabad"/>
    <x v="1"/>
    <x v="5"/>
    <s v="60000-100000"/>
    <x v="2"/>
    <s v="cold brew"/>
    <n v="1.25"/>
    <x v="2"/>
    <n v="7"/>
    <x v="1"/>
    <x v="1"/>
    <n v="1235"/>
    <s v="Cafa"/>
    <x v="1"/>
    <x v="3"/>
    <x v="1"/>
  </r>
  <r>
    <n v="552"/>
    <n v="99658"/>
    <x v="1"/>
    <x v="0"/>
    <s v="Chennai"/>
    <x v="6"/>
    <x v="3"/>
    <s v="60000-100000"/>
    <x v="5"/>
    <s v="instant"/>
    <n v="2.2000000000000002"/>
    <x v="2"/>
    <n v="7"/>
    <x v="2"/>
    <x v="0"/>
    <n v="1323"/>
    <s v="Cafa"/>
    <x v="3"/>
    <x v="3"/>
    <x v="1"/>
  </r>
  <r>
    <n v="553"/>
    <n v="16793"/>
    <x v="2"/>
    <x v="1"/>
    <s v="Kochi"/>
    <x v="8"/>
    <x v="3"/>
    <s v="30000-60000"/>
    <x v="0"/>
    <s v="filter"/>
    <n v="2.4"/>
    <x v="2"/>
    <n v="7"/>
    <x v="2"/>
    <x v="1"/>
    <n v="823"/>
    <s v="supermarket"/>
    <x v="0"/>
    <x v="3"/>
    <x v="2"/>
  </r>
  <r>
    <n v="554"/>
    <n v="40759"/>
    <x v="0"/>
    <x v="1"/>
    <s v="Kochi"/>
    <x v="8"/>
    <x v="6"/>
    <s v="&lt;15000"/>
    <x v="0"/>
    <s v="filter"/>
    <n v="2.4"/>
    <x v="2"/>
    <n v="7"/>
    <x v="2"/>
    <x v="0"/>
    <n v="313"/>
    <s v="online"/>
    <x v="3"/>
    <x v="2"/>
    <x v="2"/>
  </r>
  <r>
    <n v="555"/>
    <n v="40234"/>
    <x v="2"/>
    <x v="1"/>
    <s v="Chennai"/>
    <x v="6"/>
    <x v="3"/>
    <s v="30000-60000"/>
    <x v="3"/>
    <s v="filter"/>
    <n v="0.55000000000000004"/>
    <x v="2"/>
    <n v="7"/>
    <x v="1"/>
    <x v="1"/>
    <n v="592"/>
    <s v="online"/>
    <x v="2"/>
    <x v="0"/>
    <x v="1"/>
  </r>
  <r>
    <n v="556"/>
    <n v="85720"/>
    <x v="3"/>
    <x v="1"/>
    <s v="Vizag"/>
    <x v="7"/>
    <x v="1"/>
    <s v="30000-60000"/>
    <x v="7"/>
    <s v="instant"/>
    <n v="0.375"/>
    <x v="2"/>
    <n v="7"/>
    <x v="0"/>
    <x v="4"/>
    <n v="533"/>
    <s v="online"/>
    <x v="2"/>
    <x v="3"/>
    <x v="0"/>
  </r>
  <r>
    <n v="557"/>
    <n v="96447"/>
    <x v="1"/>
    <x v="1"/>
    <s v="Ahmedabad"/>
    <x v="9"/>
    <x v="1"/>
    <s v="100000+"/>
    <x v="1"/>
    <s v="ready-to-drink"/>
    <n v="2"/>
    <x v="2"/>
    <n v="7"/>
    <x v="2"/>
    <x v="1"/>
    <n v="2192"/>
    <s v="Cafa"/>
    <x v="0"/>
    <x v="3"/>
    <x v="2"/>
  </r>
  <r>
    <n v="558"/>
    <n v="94325"/>
    <x v="0"/>
    <x v="1"/>
    <s v="Vizag"/>
    <x v="7"/>
    <x v="7"/>
    <s v="30000-60000"/>
    <x v="3"/>
    <s v="instant"/>
    <n v="1.1000000000000001"/>
    <x v="1"/>
    <n v="3"/>
    <x v="2"/>
    <x v="1"/>
    <n v="487"/>
    <s v="supermarket"/>
    <x v="1"/>
    <x v="1"/>
    <x v="0"/>
  </r>
  <r>
    <n v="559"/>
    <n v="36889"/>
    <x v="3"/>
    <x v="0"/>
    <s v="Kochi"/>
    <x v="8"/>
    <x v="6"/>
    <s v="30000-60000"/>
    <x v="0"/>
    <s v="filter"/>
    <n v="0.6"/>
    <x v="0"/>
    <n v="1"/>
    <x v="0"/>
    <x v="3"/>
    <n v="858"/>
    <s v="online"/>
    <x v="2"/>
    <x v="0"/>
    <x v="2"/>
  </r>
  <r>
    <n v="560"/>
    <n v="25054"/>
    <x v="2"/>
    <x v="0"/>
    <s v="Vizag"/>
    <x v="7"/>
    <x v="8"/>
    <s v="15000-30000"/>
    <x v="2"/>
    <s v="instant"/>
    <n v="1.25"/>
    <x v="2"/>
    <n v="7"/>
    <x v="1"/>
    <x v="1"/>
    <n v="269"/>
    <s v="online"/>
    <x v="1"/>
    <x v="3"/>
    <x v="0"/>
  </r>
  <r>
    <n v="561"/>
    <n v="48884"/>
    <x v="0"/>
    <x v="1"/>
    <s v="Kochi"/>
    <x v="8"/>
    <x v="2"/>
    <s v="15000-30000"/>
    <x v="5"/>
    <s v="cold brew"/>
    <n v="2.2000000000000002"/>
    <x v="2"/>
    <n v="7"/>
    <x v="1"/>
    <x v="2"/>
    <n v="456"/>
    <s v="online"/>
    <x v="0"/>
    <x v="2"/>
    <x v="2"/>
  </r>
  <r>
    <n v="562"/>
    <n v="37120"/>
    <x v="0"/>
    <x v="0"/>
    <s v="Nagpur"/>
    <x v="4"/>
    <x v="8"/>
    <s v="&lt;15000"/>
    <x v="1"/>
    <s v="instant"/>
    <n v="1"/>
    <x v="2"/>
    <n v="7"/>
    <x v="1"/>
    <x v="4"/>
    <n v="291"/>
    <s v="supermarket"/>
    <x v="1"/>
    <x v="2"/>
    <x v="2"/>
  </r>
  <r>
    <n v="563"/>
    <n v="15158"/>
    <x v="1"/>
    <x v="0"/>
    <s v="Vizag"/>
    <x v="7"/>
    <x v="9"/>
    <s v="60000-100000"/>
    <x v="2"/>
    <s v="cold brew"/>
    <n v="2.5"/>
    <x v="2"/>
    <n v="7"/>
    <x v="1"/>
    <x v="1"/>
    <n v="1385"/>
    <s v="Cafa"/>
    <x v="0"/>
    <x v="2"/>
    <x v="0"/>
  </r>
  <r>
    <n v="564"/>
    <n v="67083"/>
    <x v="2"/>
    <x v="1"/>
    <s v="Chennai"/>
    <x v="6"/>
    <x v="9"/>
    <s v="15000-30000"/>
    <x v="7"/>
    <s v="instant"/>
    <n v="0.375"/>
    <x v="2"/>
    <n v="7"/>
    <x v="2"/>
    <x v="0"/>
    <n v="325"/>
    <s v="supermarket"/>
    <x v="2"/>
    <x v="3"/>
    <x v="1"/>
  </r>
  <r>
    <n v="565"/>
    <n v="32754"/>
    <x v="0"/>
    <x v="0"/>
    <s v="Pune"/>
    <x v="4"/>
    <x v="7"/>
    <s v="60000-100000"/>
    <x v="3"/>
    <s v="instant"/>
    <n v="2.2000000000000002"/>
    <x v="2"/>
    <n v="7"/>
    <x v="1"/>
    <x v="3"/>
    <n v="1476"/>
    <s v="Cafa"/>
    <x v="0"/>
    <x v="0"/>
    <x v="2"/>
  </r>
  <r>
    <n v="566"/>
    <n v="95167"/>
    <x v="2"/>
    <x v="1"/>
    <s v="Indore"/>
    <x v="10"/>
    <x v="1"/>
    <s v="30000-60000"/>
    <x v="3"/>
    <s v="instant"/>
    <n v="2.2000000000000002"/>
    <x v="2"/>
    <n v="7"/>
    <x v="2"/>
    <x v="2"/>
    <n v="659"/>
    <s v="supermarket"/>
    <x v="3"/>
    <x v="0"/>
    <x v="0"/>
  </r>
  <r>
    <n v="567"/>
    <n v="28567"/>
    <x v="0"/>
    <x v="0"/>
    <s v="Coimbatore"/>
    <x v="6"/>
    <x v="5"/>
    <s v="15000-30000"/>
    <x v="0"/>
    <s v="filter"/>
    <n v="2.4"/>
    <x v="2"/>
    <n v="7"/>
    <x v="0"/>
    <x v="2"/>
    <n v="443"/>
    <s v="online"/>
    <x v="0"/>
    <x v="3"/>
    <x v="0"/>
  </r>
  <r>
    <n v="568"/>
    <n v="40035"/>
    <x v="2"/>
    <x v="0"/>
    <s v="Nagpur"/>
    <x v="4"/>
    <x v="9"/>
    <s v="100000+"/>
    <x v="0"/>
    <s v="filter"/>
    <n v="1.2"/>
    <x v="2"/>
    <n v="7"/>
    <x v="1"/>
    <x v="1"/>
    <n v="2058"/>
    <s v="online"/>
    <x v="1"/>
    <x v="0"/>
    <x v="2"/>
  </r>
  <r>
    <n v="569"/>
    <n v="54867"/>
    <x v="0"/>
    <x v="0"/>
    <s v="Hyderabad"/>
    <x v="1"/>
    <x v="6"/>
    <s v="15000-30000"/>
    <x v="2"/>
    <s v="instant"/>
    <n v="0.625"/>
    <x v="2"/>
    <n v="7"/>
    <x v="0"/>
    <x v="1"/>
    <n v="252"/>
    <s v="Cafa"/>
    <x v="2"/>
    <x v="2"/>
    <x v="1"/>
  </r>
  <r>
    <n v="570"/>
    <n v="86040"/>
    <x v="3"/>
    <x v="1"/>
    <s v="Chennai"/>
    <x v="6"/>
    <x v="4"/>
    <s v="&lt;15000"/>
    <x v="7"/>
    <s v="ready-to-drink"/>
    <n v="0.75"/>
    <x v="2"/>
    <n v="7"/>
    <x v="0"/>
    <x v="1"/>
    <n v="197"/>
    <s v="supermarket"/>
    <x v="1"/>
    <x v="3"/>
    <x v="1"/>
  </r>
  <r>
    <n v="571"/>
    <n v="30790"/>
    <x v="1"/>
    <x v="1"/>
    <s v="Kochi"/>
    <x v="8"/>
    <x v="8"/>
    <s v="30000-60000"/>
    <x v="6"/>
    <s v="instant"/>
    <n v="2.2000000000000002"/>
    <x v="1"/>
    <n v="3"/>
    <x v="1"/>
    <x v="0"/>
    <n v="826"/>
    <s v="Cafa"/>
    <x v="3"/>
    <x v="2"/>
    <x v="2"/>
  </r>
  <r>
    <n v="572"/>
    <n v="15162"/>
    <x v="2"/>
    <x v="1"/>
    <s v="Indore"/>
    <x v="10"/>
    <x v="0"/>
    <s v="&lt;15000"/>
    <x v="4"/>
    <s v="instant"/>
    <n v="1.1000000000000001"/>
    <x v="2"/>
    <n v="7"/>
    <x v="0"/>
    <x v="1"/>
    <n v="377"/>
    <s v="supermarket"/>
    <x v="1"/>
    <x v="2"/>
    <x v="0"/>
  </r>
  <r>
    <n v="573"/>
    <n v="37334"/>
    <x v="2"/>
    <x v="0"/>
    <s v="Ahmedabad"/>
    <x v="9"/>
    <x v="9"/>
    <s v="60000-100000"/>
    <x v="1"/>
    <s v="cold brew"/>
    <n v="0.5"/>
    <x v="2"/>
    <n v="7"/>
    <x v="0"/>
    <x v="1"/>
    <n v="834"/>
    <s v="Cafa"/>
    <x v="2"/>
    <x v="0"/>
    <x v="2"/>
  </r>
  <r>
    <n v="574"/>
    <n v="93241"/>
    <x v="3"/>
    <x v="1"/>
    <s v="Mysuru"/>
    <x v="0"/>
    <x v="3"/>
    <s v="100000+"/>
    <x v="1"/>
    <s v="filter"/>
    <n v="2"/>
    <x v="2"/>
    <n v="7"/>
    <x v="0"/>
    <x v="0"/>
    <n v="1410"/>
    <s v="Cafa"/>
    <x v="0"/>
    <x v="2"/>
    <x v="0"/>
  </r>
  <r>
    <n v="575"/>
    <n v="75160"/>
    <x v="4"/>
    <x v="1"/>
    <s v="Vizag"/>
    <x v="7"/>
    <x v="8"/>
    <s v="100000+"/>
    <x v="4"/>
    <s v="instant"/>
    <n v="2.2000000000000002"/>
    <x v="2"/>
    <n v="7"/>
    <x v="1"/>
    <x v="2"/>
    <n v="2570"/>
    <s v="Cafa"/>
    <x v="3"/>
    <x v="2"/>
    <x v="0"/>
  </r>
  <r>
    <n v="576"/>
    <n v="87014"/>
    <x v="3"/>
    <x v="1"/>
    <s v="Bengaluru"/>
    <x v="0"/>
    <x v="8"/>
    <s v="15000-30000"/>
    <x v="0"/>
    <s v="filter"/>
    <n v="0.6"/>
    <x v="2"/>
    <n v="7"/>
    <x v="0"/>
    <x v="1"/>
    <n v="555"/>
    <s v="local store"/>
    <x v="2"/>
    <x v="0"/>
    <x v="1"/>
  </r>
  <r>
    <n v="577"/>
    <n v="97257"/>
    <x v="2"/>
    <x v="1"/>
    <s v="Nagpur"/>
    <x v="4"/>
    <x v="7"/>
    <s v="30000-60000"/>
    <x v="6"/>
    <s v="instant"/>
    <n v="2.2000000000000002"/>
    <x v="2"/>
    <n v="7"/>
    <x v="0"/>
    <x v="5"/>
    <n v="500"/>
    <s v="supermarket"/>
    <x v="0"/>
    <x v="2"/>
    <x v="2"/>
  </r>
  <r>
    <n v="578"/>
    <n v="71186"/>
    <x v="3"/>
    <x v="1"/>
    <s v="Mumbai"/>
    <x v="4"/>
    <x v="0"/>
    <s v="&lt;15000"/>
    <x v="0"/>
    <s v="ready-to-drink"/>
    <n v="2.4"/>
    <x v="2"/>
    <n v="7"/>
    <x v="0"/>
    <x v="0"/>
    <n v="240"/>
    <s v="local store"/>
    <x v="0"/>
    <x v="3"/>
    <x v="1"/>
  </r>
  <r>
    <n v="579"/>
    <n v="47386"/>
    <x v="2"/>
    <x v="1"/>
    <s v="Kolkata"/>
    <x v="5"/>
    <x v="3"/>
    <s v="30000-60000"/>
    <x v="7"/>
    <s v="ready-to-drink"/>
    <n v="1.5"/>
    <x v="2"/>
    <n v="7"/>
    <x v="1"/>
    <x v="1"/>
    <n v="463"/>
    <s v="Cafa"/>
    <x v="3"/>
    <x v="2"/>
    <x v="1"/>
  </r>
  <r>
    <n v="580"/>
    <n v="25235"/>
    <x v="3"/>
    <x v="0"/>
    <s v="Nagpur"/>
    <x v="4"/>
    <x v="8"/>
    <s v="60000-100000"/>
    <x v="3"/>
    <s v="instant"/>
    <n v="2.2000000000000002"/>
    <x v="2"/>
    <n v="7"/>
    <x v="1"/>
    <x v="5"/>
    <n v="895"/>
    <s v="local store"/>
    <x v="0"/>
    <x v="1"/>
    <x v="2"/>
  </r>
  <r>
    <n v="581"/>
    <n v="89486"/>
    <x v="3"/>
    <x v="0"/>
    <s v="Chennai"/>
    <x v="6"/>
    <x v="5"/>
    <s v="30000-60000"/>
    <x v="0"/>
    <s v="filter"/>
    <n v="1.2"/>
    <x v="0"/>
    <n v="1"/>
    <x v="0"/>
    <x v="5"/>
    <n v="654"/>
    <s v="local store"/>
    <x v="1"/>
    <x v="2"/>
    <x v="1"/>
  </r>
  <r>
    <n v="582"/>
    <n v="15772"/>
    <x v="3"/>
    <x v="0"/>
    <s v="Delhi"/>
    <x v="2"/>
    <x v="4"/>
    <s v="30000-60000"/>
    <x v="1"/>
    <s v="instant"/>
    <n v="1"/>
    <x v="2"/>
    <n v="7"/>
    <x v="0"/>
    <x v="5"/>
    <n v="506"/>
    <s v="Cafa"/>
    <x v="1"/>
    <x v="1"/>
    <x v="1"/>
  </r>
  <r>
    <n v="583"/>
    <n v="82764"/>
    <x v="2"/>
    <x v="1"/>
    <s v="Ahmedabad"/>
    <x v="9"/>
    <x v="2"/>
    <s v="100000+"/>
    <x v="6"/>
    <s v="cold brew"/>
    <n v="1.1000000000000001"/>
    <x v="0"/>
    <n v="1"/>
    <x v="1"/>
    <x v="1"/>
    <n v="1640"/>
    <s v="online"/>
    <x v="1"/>
    <x v="1"/>
    <x v="2"/>
  </r>
  <r>
    <n v="584"/>
    <n v="67394"/>
    <x v="1"/>
    <x v="1"/>
    <s v="Indore"/>
    <x v="10"/>
    <x v="0"/>
    <s v="30000-60000"/>
    <x v="7"/>
    <s v="cold brew"/>
    <n v="1.5"/>
    <x v="2"/>
    <n v="7"/>
    <x v="0"/>
    <x v="1"/>
    <n v="550"/>
    <s v="local store"/>
    <x v="3"/>
    <x v="1"/>
    <x v="0"/>
  </r>
  <r>
    <n v="585"/>
    <n v="26653"/>
    <x v="1"/>
    <x v="1"/>
    <s v="Mysuru"/>
    <x v="0"/>
    <x v="0"/>
    <s v="30000-60000"/>
    <x v="3"/>
    <s v="instant"/>
    <n v="2.2000000000000002"/>
    <x v="0"/>
    <n v="1"/>
    <x v="2"/>
    <x v="1"/>
    <n v="507"/>
    <s v="local store"/>
    <x v="0"/>
    <x v="1"/>
    <x v="0"/>
  </r>
  <r>
    <n v="586"/>
    <n v="14508"/>
    <x v="3"/>
    <x v="0"/>
    <s v="Bengaluru"/>
    <x v="0"/>
    <x v="7"/>
    <s v="100000+"/>
    <x v="0"/>
    <s v="filter"/>
    <n v="2.4"/>
    <x v="2"/>
    <n v="7"/>
    <x v="0"/>
    <x v="3"/>
    <n v="2286"/>
    <s v="Cafa"/>
    <x v="3"/>
    <x v="2"/>
    <x v="1"/>
  </r>
  <r>
    <n v="587"/>
    <n v="76789"/>
    <x v="1"/>
    <x v="1"/>
    <s v="Jaipur"/>
    <x v="3"/>
    <x v="2"/>
    <s v="60000-100000"/>
    <x v="0"/>
    <s v="espresso"/>
    <n v="2.4"/>
    <x v="2"/>
    <n v="7"/>
    <x v="2"/>
    <x v="1"/>
    <n v="915"/>
    <s v="online"/>
    <x v="3"/>
    <x v="3"/>
    <x v="2"/>
  </r>
  <r>
    <n v="588"/>
    <n v="28852"/>
    <x v="2"/>
    <x v="0"/>
    <s v="Ahmedabad"/>
    <x v="9"/>
    <x v="7"/>
    <s v="15000-30000"/>
    <x v="4"/>
    <s v="instant"/>
    <n v="0.55000000000000004"/>
    <x v="2"/>
    <n v="7"/>
    <x v="1"/>
    <x v="2"/>
    <n v="398"/>
    <s v="supermarket"/>
    <x v="2"/>
    <x v="2"/>
    <x v="2"/>
  </r>
  <r>
    <n v="589"/>
    <n v="89558"/>
    <x v="2"/>
    <x v="0"/>
    <s v="Bengaluru"/>
    <x v="0"/>
    <x v="1"/>
    <s v="15000-30000"/>
    <x v="0"/>
    <s v="filter"/>
    <n v="2.4"/>
    <x v="2"/>
    <n v="7"/>
    <x v="0"/>
    <x v="1"/>
    <n v="293"/>
    <s v="Cafa"/>
    <x v="3"/>
    <x v="2"/>
    <x v="1"/>
  </r>
  <r>
    <n v="590"/>
    <n v="45152"/>
    <x v="4"/>
    <x v="0"/>
    <s v="Ahmedabad"/>
    <x v="9"/>
    <x v="1"/>
    <s v="60000-100000"/>
    <x v="0"/>
    <s v="instant"/>
    <n v="2.4"/>
    <x v="2"/>
    <n v="7"/>
    <x v="1"/>
    <x v="0"/>
    <n v="1002"/>
    <s v="supermarket"/>
    <x v="3"/>
    <x v="3"/>
    <x v="2"/>
  </r>
  <r>
    <n v="591"/>
    <n v="85088"/>
    <x v="1"/>
    <x v="1"/>
    <s v="Delhi"/>
    <x v="2"/>
    <x v="3"/>
    <s v="15000-30000"/>
    <x v="4"/>
    <s v="instant"/>
    <n v="1.1000000000000001"/>
    <x v="2"/>
    <n v="7"/>
    <x v="2"/>
    <x v="1"/>
    <n v="538"/>
    <s v="supermarket"/>
    <x v="1"/>
    <x v="0"/>
    <x v="1"/>
  </r>
  <r>
    <n v="592"/>
    <n v="79017"/>
    <x v="2"/>
    <x v="1"/>
    <s v="Bengaluru"/>
    <x v="0"/>
    <x v="0"/>
    <s v="15000-30000"/>
    <x v="0"/>
    <s v="filter"/>
    <n v="2.4"/>
    <x v="2"/>
    <n v="7"/>
    <x v="2"/>
    <x v="1"/>
    <n v="297"/>
    <s v="online"/>
    <x v="0"/>
    <x v="0"/>
    <x v="1"/>
  </r>
  <r>
    <n v="593"/>
    <n v="37498"/>
    <x v="1"/>
    <x v="0"/>
    <s v="Coimbatore"/>
    <x v="6"/>
    <x v="0"/>
    <s v="&lt;15000"/>
    <x v="2"/>
    <s v="instant"/>
    <n v="1.25"/>
    <x v="2"/>
    <n v="7"/>
    <x v="2"/>
    <x v="1"/>
    <n v="330"/>
    <s v="supermarket"/>
    <x v="1"/>
    <x v="2"/>
    <x v="0"/>
  </r>
  <r>
    <n v="594"/>
    <n v="98632"/>
    <x v="1"/>
    <x v="1"/>
    <s v="Delhi"/>
    <x v="2"/>
    <x v="1"/>
    <s v="15000-30000"/>
    <x v="4"/>
    <s v="cold brew"/>
    <n v="2.2000000000000002"/>
    <x v="0"/>
    <n v="1"/>
    <x v="0"/>
    <x v="4"/>
    <n v="442"/>
    <s v="local store"/>
    <x v="0"/>
    <x v="1"/>
    <x v="1"/>
  </r>
  <r>
    <n v="595"/>
    <n v="23451"/>
    <x v="2"/>
    <x v="1"/>
    <s v="Chennai"/>
    <x v="6"/>
    <x v="4"/>
    <s v="100000+"/>
    <x v="5"/>
    <s v="filter"/>
    <n v="2.2000000000000002"/>
    <x v="2"/>
    <n v="7"/>
    <x v="0"/>
    <x v="3"/>
    <n v="2211"/>
    <s v="Cafa"/>
    <x v="0"/>
    <x v="2"/>
    <x v="1"/>
  </r>
  <r>
    <n v="596"/>
    <n v="29649"/>
    <x v="2"/>
    <x v="1"/>
    <s v="Ahmedabad"/>
    <x v="9"/>
    <x v="2"/>
    <s v="60000-100000"/>
    <x v="6"/>
    <s v="instant"/>
    <n v="2.2000000000000002"/>
    <x v="2"/>
    <n v="7"/>
    <x v="2"/>
    <x v="1"/>
    <n v="1174"/>
    <s v="supermarket"/>
    <x v="0"/>
    <x v="3"/>
    <x v="2"/>
  </r>
  <r>
    <n v="597"/>
    <n v="60378"/>
    <x v="1"/>
    <x v="0"/>
    <s v="Nagpur"/>
    <x v="4"/>
    <x v="4"/>
    <s v="100000+"/>
    <x v="4"/>
    <s v="ready-to-drink"/>
    <n v="2.2000000000000002"/>
    <x v="2"/>
    <n v="7"/>
    <x v="0"/>
    <x v="2"/>
    <n v="2252"/>
    <s v="online"/>
    <x v="0"/>
    <x v="2"/>
    <x v="2"/>
  </r>
  <r>
    <n v="598"/>
    <n v="14493"/>
    <x v="1"/>
    <x v="1"/>
    <s v="Ahmedabad"/>
    <x v="9"/>
    <x v="2"/>
    <s v="60000-100000"/>
    <x v="4"/>
    <s v="filter"/>
    <n v="2.2000000000000002"/>
    <x v="1"/>
    <n v="3"/>
    <x v="0"/>
    <x v="1"/>
    <n v="954"/>
    <s v="supermarket"/>
    <x v="3"/>
    <x v="0"/>
    <x v="2"/>
  </r>
  <r>
    <n v="599"/>
    <n v="49076"/>
    <x v="2"/>
    <x v="0"/>
    <s v="Nagpur"/>
    <x v="4"/>
    <x v="5"/>
    <s v="15000-30000"/>
    <x v="1"/>
    <s v="instant"/>
    <n v="1"/>
    <x v="2"/>
    <n v="7"/>
    <x v="1"/>
    <x v="1"/>
    <n v="451"/>
    <s v="Cafa"/>
    <x v="1"/>
    <x v="1"/>
    <x v="2"/>
  </r>
  <r>
    <n v="600"/>
    <n v="66618"/>
    <x v="0"/>
    <x v="0"/>
    <s v="Mumbai"/>
    <x v="4"/>
    <x v="2"/>
    <s v="30000-60000"/>
    <x v="4"/>
    <s v="cold brew"/>
    <n v="2.2000000000000002"/>
    <x v="2"/>
    <n v="7"/>
    <x v="0"/>
    <x v="3"/>
    <n v="626"/>
    <s v="supermarket"/>
    <x v="0"/>
    <x v="1"/>
    <x v="1"/>
  </r>
  <r>
    <n v="601"/>
    <n v="63266"/>
    <x v="1"/>
    <x v="0"/>
    <s v="Nagpur"/>
    <x v="4"/>
    <x v="7"/>
    <s v="30000-60000"/>
    <x v="1"/>
    <s v="filter"/>
    <n v="2"/>
    <x v="2"/>
    <n v="7"/>
    <x v="0"/>
    <x v="4"/>
    <n v="846"/>
    <s v="supermarket"/>
    <x v="0"/>
    <x v="0"/>
    <x v="2"/>
  </r>
  <r>
    <n v="602"/>
    <n v="38991"/>
    <x v="3"/>
    <x v="0"/>
    <s v="Mysuru"/>
    <x v="0"/>
    <x v="0"/>
    <s v="30000-60000"/>
    <x v="5"/>
    <s v="instant"/>
    <n v="2.2000000000000002"/>
    <x v="0"/>
    <n v="1"/>
    <x v="0"/>
    <x v="1"/>
    <n v="475"/>
    <s v="Cafa"/>
    <x v="0"/>
    <x v="2"/>
    <x v="0"/>
  </r>
  <r>
    <n v="603"/>
    <n v="73111"/>
    <x v="0"/>
    <x v="0"/>
    <s v="Vizag"/>
    <x v="7"/>
    <x v="4"/>
    <s v="&lt;15000"/>
    <x v="3"/>
    <s v="instant"/>
    <n v="2.2000000000000002"/>
    <x v="2"/>
    <n v="7"/>
    <x v="0"/>
    <x v="1"/>
    <n v="302"/>
    <s v="supermarket"/>
    <x v="3"/>
    <x v="1"/>
    <x v="0"/>
  </r>
  <r>
    <n v="604"/>
    <n v="99817"/>
    <x v="4"/>
    <x v="0"/>
    <s v="Coimbatore"/>
    <x v="6"/>
    <x v="8"/>
    <s v="15000-30000"/>
    <x v="0"/>
    <s v="filter"/>
    <n v="1.2"/>
    <x v="2"/>
    <n v="7"/>
    <x v="2"/>
    <x v="4"/>
    <n v="507"/>
    <s v="Cafa"/>
    <x v="1"/>
    <x v="2"/>
    <x v="0"/>
  </r>
  <r>
    <n v="605"/>
    <n v="83759"/>
    <x v="0"/>
    <x v="0"/>
    <s v="Delhi"/>
    <x v="2"/>
    <x v="9"/>
    <s v="15000-30000"/>
    <x v="1"/>
    <s v="cold brew"/>
    <n v="1"/>
    <x v="1"/>
    <n v="3"/>
    <x v="0"/>
    <x v="2"/>
    <n v="435"/>
    <s v="supermarket"/>
    <x v="1"/>
    <x v="3"/>
    <x v="1"/>
  </r>
  <r>
    <n v="606"/>
    <n v="16425"/>
    <x v="0"/>
    <x v="0"/>
    <s v="Coimbatore"/>
    <x v="6"/>
    <x v="7"/>
    <s v="30000-60000"/>
    <x v="0"/>
    <s v="filter"/>
    <n v="0.6"/>
    <x v="2"/>
    <n v="7"/>
    <x v="1"/>
    <x v="5"/>
    <n v="736"/>
    <s v="online"/>
    <x v="2"/>
    <x v="1"/>
    <x v="0"/>
  </r>
  <r>
    <n v="607"/>
    <n v="39606"/>
    <x v="0"/>
    <x v="1"/>
    <s v="Delhi"/>
    <x v="2"/>
    <x v="1"/>
    <s v="30000-60000"/>
    <x v="2"/>
    <s v="instant"/>
    <n v="2.5"/>
    <x v="2"/>
    <n v="7"/>
    <x v="0"/>
    <x v="3"/>
    <n v="738"/>
    <s v="local store"/>
    <x v="0"/>
    <x v="0"/>
    <x v="1"/>
  </r>
  <r>
    <n v="608"/>
    <n v="51942"/>
    <x v="1"/>
    <x v="0"/>
    <s v="Ahmedabad"/>
    <x v="9"/>
    <x v="6"/>
    <s v="15000-30000"/>
    <x v="5"/>
    <s v="cold brew"/>
    <n v="0.55000000000000004"/>
    <x v="2"/>
    <n v="7"/>
    <x v="2"/>
    <x v="0"/>
    <n v="411"/>
    <s v="online"/>
    <x v="2"/>
    <x v="3"/>
    <x v="2"/>
  </r>
  <r>
    <n v="609"/>
    <n v="91315"/>
    <x v="2"/>
    <x v="1"/>
    <s v="Jaipur"/>
    <x v="3"/>
    <x v="9"/>
    <s v="&lt;15000"/>
    <x v="1"/>
    <s v="instant"/>
    <n v="1"/>
    <x v="0"/>
    <n v="1"/>
    <x v="1"/>
    <x v="1"/>
    <n v="370"/>
    <s v="online"/>
    <x v="1"/>
    <x v="2"/>
    <x v="2"/>
  </r>
  <r>
    <n v="610"/>
    <n v="19620"/>
    <x v="2"/>
    <x v="1"/>
    <s v="Mysuru"/>
    <x v="0"/>
    <x v="8"/>
    <s v="15000-30000"/>
    <x v="4"/>
    <s v="filter"/>
    <n v="1.1000000000000001"/>
    <x v="2"/>
    <n v="7"/>
    <x v="0"/>
    <x v="0"/>
    <n v="256"/>
    <s v="online"/>
    <x v="1"/>
    <x v="2"/>
    <x v="0"/>
  </r>
  <r>
    <n v="611"/>
    <n v="81333"/>
    <x v="1"/>
    <x v="1"/>
    <s v="Indore"/>
    <x v="10"/>
    <x v="1"/>
    <s v="&lt;15000"/>
    <x v="2"/>
    <s v="instant"/>
    <n v="2.5"/>
    <x v="2"/>
    <n v="7"/>
    <x v="0"/>
    <x v="2"/>
    <n v="339"/>
    <s v="local store"/>
    <x v="0"/>
    <x v="3"/>
    <x v="0"/>
  </r>
  <r>
    <n v="612"/>
    <n v="73736"/>
    <x v="2"/>
    <x v="1"/>
    <s v="Kolkata"/>
    <x v="5"/>
    <x v="5"/>
    <s v="60000-100000"/>
    <x v="4"/>
    <s v="instant"/>
    <n v="2.2000000000000002"/>
    <x v="2"/>
    <n v="7"/>
    <x v="0"/>
    <x v="1"/>
    <n v="1096"/>
    <s v="supermarket"/>
    <x v="0"/>
    <x v="0"/>
    <x v="1"/>
  </r>
  <r>
    <n v="613"/>
    <n v="24967"/>
    <x v="1"/>
    <x v="1"/>
    <s v="Nagpur"/>
    <x v="4"/>
    <x v="7"/>
    <s v="30000-60000"/>
    <x v="5"/>
    <s v="instant"/>
    <n v="2.2000000000000002"/>
    <x v="0"/>
    <n v="1"/>
    <x v="1"/>
    <x v="1"/>
    <n v="834"/>
    <s v="supermarket"/>
    <x v="3"/>
    <x v="0"/>
    <x v="2"/>
  </r>
  <r>
    <n v="614"/>
    <n v="23676"/>
    <x v="0"/>
    <x v="1"/>
    <s v="Bengaluru"/>
    <x v="0"/>
    <x v="6"/>
    <s v="15000-30000"/>
    <x v="3"/>
    <s v="instant"/>
    <n v="1.1000000000000001"/>
    <x v="2"/>
    <n v="7"/>
    <x v="1"/>
    <x v="1"/>
    <n v="514"/>
    <s v="supermarket"/>
    <x v="1"/>
    <x v="0"/>
    <x v="1"/>
  </r>
  <r>
    <n v="615"/>
    <n v="90759"/>
    <x v="3"/>
    <x v="0"/>
    <s v="Indore"/>
    <x v="10"/>
    <x v="5"/>
    <s v="30000-60000"/>
    <x v="3"/>
    <s v="espresso"/>
    <n v="2.2000000000000002"/>
    <x v="2"/>
    <n v="7"/>
    <x v="1"/>
    <x v="0"/>
    <n v="655"/>
    <s v="Cafa"/>
    <x v="0"/>
    <x v="0"/>
    <x v="0"/>
  </r>
  <r>
    <n v="616"/>
    <n v="49578"/>
    <x v="1"/>
    <x v="1"/>
    <s v="Ahmedabad"/>
    <x v="9"/>
    <x v="1"/>
    <s v="15000-30000"/>
    <x v="0"/>
    <s v="espresso"/>
    <n v="1.2"/>
    <x v="2"/>
    <n v="7"/>
    <x v="2"/>
    <x v="1"/>
    <n v="309"/>
    <s v="supermarket"/>
    <x v="1"/>
    <x v="2"/>
    <x v="2"/>
  </r>
  <r>
    <n v="617"/>
    <n v="30029"/>
    <x v="3"/>
    <x v="1"/>
    <s v="Indore"/>
    <x v="10"/>
    <x v="8"/>
    <s v="100000+"/>
    <x v="2"/>
    <s v="cold brew"/>
    <n v="0.625"/>
    <x v="2"/>
    <n v="7"/>
    <x v="0"/>
    <x v="3"/>
    <n v="2589"/>
    <s v="online"/>
    <x v="2"/>
    <x v="0"/>
    <x v="0"/>
  </r>
  <r>
    <n v="618"/>
    <n v="47168"/>
    <x v="3"/>
    <x v="1"/>
    <s v="Jaipur"/>
    <x v="3"/>
    <x v="2"/>
    <s v="15000-30000"/>
    <x v="5"/>
    <s v="filter"/>
    <n v="1.1000000000000001"/>
    <x v="0"/>
    <n v="1"/>
    <x v="0"/>
    <x v="0"/>
    <n v="261"/>
    <s v="supermarket"/>
    <x v="1"/>
    <x v="0"/>
    <x v="2"/>
  </r>
  <r>
    <n v="619"/>
    <n v="84275"/>
    <x v="3"/>
    <x v="1"/>
    <s v="Hyderabad"/>
    <x v="1"/>
    <x v="6"/>
    <s v="100000+"/>
    <x v="0"/>
    <s v="instant"/>
    <n v="1.2"/>
    <x v="2"/>
    <n v="7"/>
    <x v="0"/>
    <x v="0"/>
    <n v="1899"/>
    <s v="supermarket"/>
    <x v="1"/>
    <x v="3"/>
    <x v="1"/>
  </r>
  <r>
    <n v="620"/>
    <n v="68290"/>
    <x v="2"/>
    <x v="1"/>
    <s v="Delhi"/>
    <x v="2"/>
    <x v="6"/>
    <s v="30000-60000"/>
    <x v="6"/>
    <s v="ready-to-drink"/>
    <n v="2.2000000000000002"/>
    <x v="2"/>
    <n v="7"/>
    <x v="2"/>
    <x v="5"/>
    <n v="483"/>
    <s v="Cafa"/>
    <x v="0"/>
    <x v="0"/>
    <x v="1"/>
  </r>
  <r>
    <n v="621"/>
    <n v="78934"/>
    <x v="0"/>
    <x v="1"/>
    <s v="Kolkata"/>
    <x v="5"/>
    <x v="6"/>
    <s v="15000-30000"/>
    <x v="4"/>
    <s v="instant"/>
    <n v="2.2000000000000002"/>
    <x v="1"/>
    <n v="3"/>
    <x v="0"/>
    <x v="4"/>
    <n v="458"/>
    <s v="online"/>
    <x v="3"/>
    <x v="3"/>
    <x v="1"/>
  </r>
  <r>
    <n v="622"/>
    <n v="15332"/>
    <x v="1"/>
    <x v="1"/>
    <s v="Jaipur"/>
    <x v="3"/>
    <x v="8"/>
    <s v="30000-60000"/>
    <x v="3"/>
    <s v="ready-to-drink"/>
    <n v="2.2000000000000002"/>
    <x v="2"/>
    <n v="7"/>
    <x v="2"/>
    <x v="1"/>
    <n v="627"/>
    <s v="local store"/>
    <x v="0"/>
    <x v="3"/>
    <x v="2"/>
  </r>
  <r>
    <n v="623"/>
    <n v="82161"/>
    <x v="2"/>
    <x v="0"/>
    <s v="Coimbatore"/>
    <x v="6"/>
    <x v="4"/>
    <s v="60000-100000"/>
    <x v="5"/>
    <s v="espresso"/>
    <n v="0.55000000000000004"/>
    <x v="2"/>
    <n v="7"/>
    <x v="1"/>
    <x v="1"/>
    <n v="1327"/>
    <s v="local store"/>
    <x v="2"/>
    <x v="2"/>
    <x v="0"/>
  </r>
  <r>
    <n v="624"/>
    <n v="57715"/>
    <x v="0"/>
    <x v="1"/>
    <s v="Pune"/>
    <x v="4"/>
    <x v="7"/>
    <s v="15000-30000"/>
    <x v="2"/>
    <s v="filter"/>
    <n v="2.5"/>
    <x v="1"/>
    <n v="3"/>
    <x v="0"/>
    <x v="0"/>
    <n v="500"/>
    <s v="local store"/>
    <x v="3"/>
    <x v="0"/>
    <x v="2"/>
  </r>
  <r>
    <n v="625"/>
    <n v="85946"/>
    <x v="3"/>
    <x v="1"/>
    <s v="Jaipur"/>
    <x v="3"/>
    <x v="2"/>
    <s v="30000-60000"/>
    <x v="0"/>
    <s v="instant"/>
    <n v="2.4"/>
    <x v="2"/>
    <n v="7"/>
    <x v="1"/>
    <x v="4"/>
    <n v="680"/>
    <s v="supermarket"/>
    <x v="0"/>
    <x v="3"/>
    <x v="2"/>
  </r>
  <r>
    <n v="626"/>
    <n v="54901"/>
    <x v="3"/>
    <x v="0"/>
    <s v="Vizag"/>
    <x v="7"/>
    <x v="0"/>
    <s v="30000-60000"/>
    <x v="5"/>
    <s v="instant"/>
    <n v="2.2000000000000002"/>
    <x v="2"/>
    <n v="7"/>
    <x v="0"/>
    <x v="5"/>
    <n v="469"/>
    <s v="Cafa"/>
    <x v="0"/>
    <x v="0"/>
    <x v="0"/>
  </r>
  <r>
    <n v="627"/>
    <n v="41823"/>
    <x v="2"/>
    <x v="1"/>
    <s v="Vizag"/>
    <x v="7"/>
    <x v="6"/>
    <s v="15000-30000"/>
    <x v="0"/>
    <s v="instant"/>
    <n v="0.6"/>
    <x v="2"/>
    <n v="7"/>
    <x v="1"/>
    <x v="3"/>
    <n v="459"/>
    <s v="online"/>
    <x v="2"/>
    <x v="3"/>
    <x v="0"/>
  </r>
  <r>
    <n v="628"/>
    <n v="63723"/>
    <x v="4"/>
    <x v="1"/>
    <s v="Jaipur"/>
    <x v="3"/>
    <x v="1"/>
    <s v="100000+"/>
    <x v="7"/>
    <s v="instant"/>
    <n v="1.5"/>
    <x v="2"/>
    <n v="7"/>
    <x v="0"/>
    <x v="0"/>
    <n v="2163"/>
    <s v="supermarket"/>
    <x v="0"/>
    <x v="1"/>
    <x v="2"/>
  </r>
  <r>
    <n v="629"/>
    <n v="60587"/>
    <x v="3"/>
    <x v="0"/>
    <s v="Chennai"/>
    <x v="6"/>
    <x v="1"/>
    <s v="30000-60000"/>
    <x v="0"/>
    <s v="filter"/>
    <n v="2.4"/>
    <x v="2"/>
    <n v="7"/>
    <x v="2"/>
    <x v="3"/>
    <n v="532"/>
    <s v="Cafa"/>
    <x v="3"/>
    <x v="0"/>
    <x v="1"/>
  </r>
  <r>
    <n v="630"/>
    <n v="66508"/>
    <x v="0"/>
    <x v="1"/>
    <s v="Ahmedabad"/>
    <x v="9"/>
    <x v="6"/>
    <s v="30000-60000"/>
    <x v="4"/>
    <s v="instant"/>
    <n v="0.55000000000000004"/>
    <x v="2"/>
    <n v="7"/>
    <x v="1"/>
    <x v="3"/>
    <n v="481"/>
    <s v="online"/>
    <x v="2"/>
    <x v="0"/>
    <x v="2"/>
  </r>
  <r>
    <n v="631"/>
    <n v="36316"/>
    <x v="1"/>
    <x v="1"/>
    <s v="Vizag"/>
    <x v="7"/>
    <x v="4"/>
    <s v="30000-60000"/>
    <x v="7"/>
    <s v="instant"/>
    <n v="0.375"/>
    <x v="0"/>
    <n v="1"/>
    <x v="1"/>
    <x v="1"/>
    <n v="628"/>
    <s v="local store"/>
    <x v="2"/>
    <x v="2"/>
    <x v="0"/>
  </r>
  <r>
    <n v="632"/>
    <n v="61618"/>
    <x v="2"/>
    <x v="1"/>
    <s v="Jaipur"/>
    <x v="3"/>
    <x v="9"/>
    <s v="30000-60000"/>
    <x v="7"/>
    <s v="instant"/>
    <n v="1.5"/>
    <x v="0"/>
    <n v="1"/>
    <x v="0"/>
    <x v="0"/>
    <n v="525"/>
    <s v="supermarket"/>
    <x v="0"/>
    <x v="0"/>
    <x v="2"/>
  </r>
  <r>
    <n v="633"/>
    <n v="69260"/>
    <x v="1"/>
    <x v="0"/>
    <s v="Mysuru"/>
    <x v="0"/>
    <x v="9"/>
    <s v="60000-100000"/>
    <x v="1"/>
    <s v="instant"/>
    <n v="0.5"/>
    <x v="1"/>
    <n v="3"/>
    <x v="0"/>
    <x v="5"/>
    <n v="1106"/>
    <s v="local store"/>
    <x v="2"/>
    <x v="2"/>
    <x v="0"/>
  </r>
  <r>
    <n v="634"/>
    <n v="85814"/>
    <x v="3"/>
    <x v="0"/>
    <s v="Bengaluru"/>
    <x v="0"/>
    <x v="3"/>
    <s v="30000-60000"/>
    <x v="0"/>
    <s v="filter"/>
    <n v="0.6"/>
    <x v="2"/>
    <n v="7"/>
    <x v="1"/>
    <x v="0"/>
    <n v="503"/>
    <s v="Cafa"/>
    <x v="2"/>
    <x v="1"/>
    <x v="1"/>
  </r>
  <r>
    <n v="635"/>
    <n v="64794"/>
    <x v="0"/>
    <x v="1"/>
    <s v="Bengaluru"/>
    <x v="0"/>
    <x v="0"/>
    <s v="100000+"/>
    <x v="1"/>
    <s v="filter"/>
    <n v="1"/>
    <x v="0"/>
    <n v="1"/>
    <x v="2"/>
    <x v="1"/>
    <n v="1722"/>
    <s v="supermarket"/>
    <x v="1"/>
    <x v="2"/>
    <x v="1"/>
  </r>
  <r>
    <n v="636"/>
    <n v="33442"/>
    <x v="4"/>
    <x v="1"/>
    <s v="Indore"/>
    <x v="10"/>
    <x v="3"/>
    <s v="&lt;15000"/>
    <x v="3"/>
    <s v="espresso"/>
    <n v="2.2000000000000002"/>
    <x v="1"/>
    <n v="3"/>
    <x v="0"/>
    <x v="1"/>
    <n v="330"/>
    <s v="Cafa"/>
    <x v="0"/>
    <x v="1"/>
    <x v="0"/>
  </r>
  <r>
    <n v="637"/>
    <n v="22494"/>
    <x v="2"/>
    <x v="1"/>
    <s v="Hyderabad"/>
    <x v="1"/>
    <x v="7"/>
    <s v="15000-30000"/>
    <x v="5"/>
    <s v="instant"/>
    <n v="0.55000000000000004"/>
    <x v="2"/>
    <n v="7"/>
    <x v="2"/>
    <x v="2"/>
    <n v="471"/>
    <s v="local store"/>
    <x v="2"/>
    <x v="2"/>
    <x v="1"/>
  </r>
  <r>
    <n v="638"/>
    <n v="51297"/>
    <x v="1"/>
    <x v="1"/>
    <s v="Chennai"/>
    <x v="6"/>
    <x v="1"/>
    <s v="60000-100000"/>
    <x v="2"/>
    <s v="cold brew"/>
    <n v="2.5"/>
    <x v="2"/>
    <n v="7"/>
    <x v="0"/>
    <x v="0"/>
    <n v="1337"/>
    <s v="local store"/>
    <x v="0"/>
    <x v="2"/>
    <x v="1"/>
  </r>
  <r>
    <n v="639"/>
    <n v="87927"/>
    <x v="1"/>
    <x v="1"/>
    <s v="Coimbatore"/>
    <x v="6"/>
    <x v="9"/>
    <s v="15000-30000"/>
    <x v="6"/>
    <s v="instant"/>
    <n v="2.2000000000000002"/>
    <x v="1"/>
    <n v="3"/>
    <x v="0"/>
    <x v="0"/>
    <n v="592"/>
    <s v="supermarket"/>
    <x v="0"/>
    <x v="1"/>
    <x v="0"/>
  </r>
  <r>
    <n v="640"/>
    <n v="12348"/>
    <x v="1"/>
    <x v="1"/>
    <s v="Pune"/>
    <x v="4"/>
    <x v="4"/>
    <s v="30000-60000"/>
    <x v="6"/>
    <s v="instant"/>
    <n v="2.2000000000000002"/>
    <x v="1"/>
    <n v="3"/>
    <x v="1"/>
    <x v="2"/>
    <n v="436"/>
    <s v="online"/>
    <x v="3"/>
    <x v="3"/>
    <x v="2"/>
  </r>
  <r>
    <n v="641"/>
    <n v="38688"/>
    <x v="0"/>
    <x v="0"/>
    <s v="Bengaluru"/>
    <x v="0"/>
    <x v="3"/>
    <s v="100000+"/>
    <x v="0"/>
    <s v="filter"/>
    <n v="2.4"/>
    <x v="2"/>
    <n v="7"/>
    <x v="1"/>
    <x v="1"/>
    <n v="2607"/>
    <s v="local store"/>
    <x v="0"/>
    <x v="1"/>
    <x v="1"/>
  </r>
  <r>
    <n v="642"/>
    <n v="45680"/>
    <x v="2"/>
    <x v="0"/>
    <s v="Ahmedabad"/>
    <x v="9"/>
    <x v="2"/>
    <s v="&lt;15000"/>
    <x v="6"/>
    <s v="instant"/>
    <n v="0.55000000000000004"/>
    <x v="1"/>
    <n v="3"/>
    <x v="0"/>
    <x v="1"/>
    <n v="216"/>
    <s v="supermarket"/>
    <x v="2"/>
    <x v="3"/>
    <x v="2"/>
  </r>
  <r>
    <n v="643"/>
    <n v="91891"/>
    <x v="3"/>
    <x v="1"/>
    <s v="Chennai"/>
    <x v="6"/>
    <x v="1"/>
    <s v="60000-100000"/>
    <x v="0"/>
    <s v="filter"/>
    <n v="2.4"/>
    <x v="2"/>
    <n v="7"/>
    <x v="0"/>
    <x v="0"/>
    <n v="902"/>
    <s v="Cafa"/>
    <x v="3"/>
    <x v="2"/>
    <x v="1"/>
  </r>
  <r>
    <n v="644"/>
    <n v="89635"/>
    <x v="2"/>
    <x v="0"/>
    <s v="Ahmedabad"/>
    <x v="9"/>
    <x v="0"/>
    <s v="30000-60000"/>
    <x v="2"/>
    <s v="filter"/>
    <n v="0.625"/>
    <x v="2"/>
    <n v="7"/>
    <x v="0"/>
    <x v="1"/>
    <n v="658"/>
    <s v="Cafa"/>
    <x v="2"/>
    <x v="2"/>
    <x v="2"/>
  </r>
  <r>
    <n v="645"/>
    <n v="22904"/>
    <x v="2"/>
    <x v="0"/>
    <s v="Mumbai"/>
    <x v="4"/>
    <x v="9"/>
    <s v="15000-30000"/>
    <x v="4"/>
    <s v="filter"/>
    <n v="1.1000000000000001"/>
    <x v="1"/>
    <n v="3"/>
    <x v="0"/>
    <x v="0"/>
    <n v="490"/>
    <s v="Cafa"/>
    <x v="1"/>
    <x v="0"/>
    <x v="1"/>
  </r>
  <r>
    <n v="646"/>
    <n v="46716"/>
    <x v="1"/>
    <x v="1"/>
    <s v="Bengaluru"/>
    <x v="0"/>
    <x v="7"/>
    <s v="30000-60000"/>
    <x v="2"/>
    <s v="cold brew"/>
    <n v="0.625"/>
    <x v="1"/>
    <n v="3"/>
    <x v="0"/>
    <x v="1"/>
    <n v="512"/>
    <s v="supermarket"/>
    <x v="2"/>
    <x v="0"/>
    <x v="1"/>
  </r>
  <r>
    <n v="647"/>
    <n v="37393"/>
    <x v="0"/>
    <x v="1"/>
    <s v="Mumbai"/>
    <x v="4"/>
    <x v="6"/>
    <s v="15000-30000"/>
    <x v="1"/>
    <s v="filter"/>
    <n v="2"/>
    <x v="2"/>
    <n v="7"/>
    <x v="0"/>
    <x v="5"/>
    <n v="475"/>
    <s v="supermarket"/>
    <x v="0"/>
    <x v="3"/>
    <x v="1"/>
  </r>
  <r>
    <n v="648"/>
    <n v="99114"/>
    <x v="1"/>
    <x v="0"/>
    <s v="Vizag"/>
    <x v="7"/>
    <x v="1"/>
    <s v="100000+"/>
    <x v="2"/>
    <s v="instant"/>
    <n v="2.5"/>
    <x v="2"/>
    <n v="7"/>
    <x v="2"/>
    <x v="1"/>
    <n v="1734"/>
    <s v="supermarket"/>
    <x v="0"/>
    <x v="3"/>
    <x v="0"/>
  </r>
  <r>
    <n v="649"/>
    <n v="28873"/>
    <x v="1"/>
    <x v="1"/>
    <s v="Kolkata"/>
    <x v="5"/>
    <x v="3"/>
    <s v="100000+"/>
    <x v="4"/>
    <s v="instant"/>
    <n v="2.2000000000000002"/>
    <x v="0"/>
    <n v="1"/>
    <x v="0"/>
    <x v="2"/>
    <n v="1896"/>
    <s v="online"/>
    <x v="3"/>
    <x v="0"/>
    <x v="1"/>
  </r>
  <r>
    <n v="650"/>
    <n v="77098"/>
    <x v="0"/>
    <x v="0"/>
    <s v="Jaipur"/>
    <x v="3"/>
    <x v="9"/>
    <s v="60000-100000"/>
    <x v="5"/>
    <s v="instant"/>
    <n v="0.55000000000000004"/>
    <x v="2"/>
    <n v="7"/>
    <x v="1"/>
    <x v="1"/>
    <n v="1152"/>
    <s v="local store"/>
    <x v="2"/>
    <x v="2"/>
    <x v="2"/>
  </r>
  <r>
    <n v="651"/>
    <n v="28793"/>
    <x v="0"/>
    <x v="1"/>
    <s v="Pune"/>
    <x v="4"/>
    <x v="3"/>
    <s v="15000-30000"/>
    <x v="3"/>
    <s v="instant"/>
    <n v="0.55000000000000004"/>
    <x v="2"/>
    <n v="7"/>
    <x v="0"/>
    <x v="1"/>
    <n v="290"/>
    <s v="local store"/>
    <x v="2"/>
    <x v="0"/>
    <x v="2"/>
  </r>
  <r>
    <n v="652"/>
    <n v="93266"/>
    <x v="3"/>
    <x v="0"/>
    <s v="Mysuru"/>
    <x v="0"/>
    <x v="6"/>
    <s v="15000-30000"/>
    <x v="0"/>
    <s v="filter"/>
    <n v="2.4"/>
    <x v="2"/>
    <n v="7"/>
    <x v="1"/>
    <x v="4"/>
    <n v="472"/>
    <s v="online"/>
    <x v="3"/>
    <x v="3"/>
    <x v="0"/>
  </r>
  <r>
    <n v="653"/>
    <n v="81012"/>
    <x v="3"/>
    <x v="1"/>
    <s v="Nagpur"/>
    <x v="4"/>
    <x v="6"/>
    <s v="&lt;15000"/>
    <x v="7"/>
    <s v="instant"/>
    <n v="0.375"/>
    <x v="2"/>
    <n v="7"/>
    <x v="1"/>
    <x v="1"/>
    <n v="301"/>
    <s v="supermarket"/>
    <x v="2"/>
    <x v="2"/>
    <x v="2"/>
  </r>
  <r>
    <n v="654"/>
    <n v="84499"/>
    <x v="3"/>
    <x v="1"/>
    <s v="Jaipur"/>
    <x v="3"/>
    <x v="4"/>
    <s v="15000-30000"/>
    <x v="4"/>
    <s v="instant"/>
    <n v="2.2000000000000002"/>
    <x v="2"/>
    <n v="7"/>
    <x v="0"/>
    <x v="1"/>
    <n v="599"/>
    <s v="local store"/>
    <x v="3"/>
    <x v="0"/>
    <x v="2"/>
  </r>
  <r>
    <n v="655"/>
    <n v="22320"/>
    <x v="1"/>
    <x v="0"/>
    <s v="Mysuru"/>
    <x v="0"/>
    <x v="5"/>
    <s v="15000-30000"/>
    <x v="2"/>
    <s v="cold brew"/>
    <n v="2.5"/>
    <x v="2"/>
    <n v="7"/>
    <x v="0"/>
    <x v="0"/>
    <n v="291"/>
    <s v="Cafa"/>
    <x v="0"/>
    <x v="0"/>
    <x v="0"/>
  </r>
  <r>
    <n v="656"/>
    <n v="59752"/>
    <x v="0"/>
    <x v="0"/>
    <s v="Coimbatore"/>
    <x v="6"/>
    <x v="0"/>
    <s v="15000-30000"/>
    <x v="3"/>
    <s v="instant"/>
    <n v="1.1000000000000001"/>
    <x v="2"/>
    <n v="7"/>
    <x v="1"/>
    <x v="0"/>
    <n v="519"/>
    <s v="Cafa"/>
    <x v="1"/>
    <x v="2"/>
    <x v="0"/>
  </r>
  <r>
    <n v="657"/>
    <n v="70383"/>
    <x v="0"/>
    <x v="0"/>
    <s v="Pune"/>
    <x v="4"/>
    <x v="1"/>
    <s v="15000-30000"/>
    <x v="4"/>
    <s v="instant"/>
    <n v="1.1000000000000001"/>
    <x v="2"/>
    <n v="7"/>
    <x v="1"/>
    <x v="3"/>
    <n v="408"/>
    <s v="local store"/>
    <x v="1"/>
    <x v="0"/>
    <x v="2"/>
  </r>
  <r>
    <n v="658"/>
    <n v="46301"/>
    <x v="0"/>
    <x v="0"/>
    <s v="Bengaluru"/>
    <x v="0"/>
    <x v="9"/>
    <s v="15000-30000"/>
    <x v="0"/>
    <s v="filter"/>
    <n v="2.4"/>
    <x v="0"/>
    <n v="1"/>
    <x v="1"/>
    <x v="3"/>
    <n v="344"/>
    <s v="local store"/>
    <x v="0"/>
    <x v="3"/>
    <x v="1"/>
  </r>
  <r>
    <n v="659"/>
    <n v="76580"/>
    <x v="1"/>
    <x v="0"/>
    <s v="Indore"/>
    <x v="10"/>
    <x v="0"/>
    <s v="60000-100000"/>
    <x v="2"/>
    <s v="cold brew"/>
    <n v="2.5"/>
    <x v="2"/>
    <n v="7"/>
    <x v="1"/>
    <x v="1"/>
    <n v="1260"/>
    <s v="Cafa"/>
    <x v="0"/>
    <x v="3"/>
    <x v="0"/>
  </r>
  <r>
    <n v="660"/>
    <n v="67777"/>
    <x v="2"/>
    <x v="1"/>
    <s v="Jaipur"/>
    <x v="3"/>
    <x v="2"/>
    <s v="15000-30000"/>
    <x v="5"/>
    <s v="instant"/>
    <n v="2.2000000000000002"/>
    <x v="2"/>
    <n v="7"/>
    <x v="0"/>
    <x v="0"/>
    <n v="481"/>
    <s v="Cafa"/>
    <x v="3"/>
    <x v="1"/>
    <x v="2"/>
  </r>
  <r>
    <n v="661"/>
    <n v="28947"/>
    <x v="1"/>
    <x v="1"/>
    <s v="Delhi"/>
    <x v="2"/>
    <x v="2"/>
    <s v="30000-60000"/>
    <x v="3"/>
    <s v="instant"/>
    <n v="2.2000000000000002"/>
    <x v="0"/>
    <n v="1"/>
    <x v="0"/>
    <x v="3"/>
    <n v="595"/>
    <s v="Cafa"/>
    <x v="3"/>
    <x v="0"/>
    <x v="1"/>
  </r>
  <r>
    <n v="662"/>
    <n v="18197"/>
    <x v="4"/>
    <x v="0"/>
    <s v="Coimbatore"/>
    <x v="6"/>
    <x v="9"/>
    <s v="30000-60000"/>
    <x v="0"/>
    <s v="filter"/>
    <n v="2.4"/>
    <x v="2"/>
    <n v="7"/>
    <x v="1"/>
    <x v="1"/>
    <n v="561"/>
    <s v="Cafa"/>
    <x v="3"/>
    <x v="3"/>
    <x v="0"/>
  </r>
  <r>
    <n v="663"/>
    <n v="30580"/>
    <x v="3"/>
    <x v="0"/>
    <s v="Nagpur"/>
    <x v="4"/>
    <x v="0"/>
    <s v="15000-30000"/>
    <x v="0"/>
    <s v="instant"/>
    <n v="1.2"/>
    <x v="2"/>
    <n v="7"/>
    <x v="2"/>
    <x v="5"/>
    <n v="572"/>
    <s v="Cafa"/>
    <x v="1"/>
    <x v="0"/>
    <x v="2"/>
  </r>
  <r>
    <n v="664"/>
    <n v="85761"/>
    <x v="1"/>
    <x v="1"/>
    <s v="Kochi"/>
    <x v="8"/>
    <x v="2"/>
    <s v="30000-60000"/>
    <x v="6"/>
    <s v="espresso"/>
    <n v="1.1000000000000001"/>
    <x v="2"/>
    <n v="7"/>
    <x v="1"/>
    <x v="0"/>
    <n v="426"/>
    <s v="online"/>
    <x v="1"/>
    <x v="1"/>
    <x v="2"/>
  </r>
  <r>
    <n v="665"/>
    <n v="23843"/>
    <x v="0"/>
    <x v="1"/>
    <s v="Bengaluru"/>
    <x v="0"/>
    <x v="6"/>
    <s v="30000-60000"/>
    <x v="0"/>
    <s v="filter"/>
    <n v="1.2"/>
    <x v="2"/>
    <n v="7"/>
    <x v="1"/>
    <x v="1"/>
    <n v="637"/>
    <s v="Cafa"/>
    <x v="1"/>
    <x v="3"/>
    <x v="1"/>
  </r>
  <r>
    <n v="666"/>
    <n v="29902"/>
    <x v="3"/>
    <x v="1"/>
    <s v="Ahmedabad"/>
    <x v="9"/>
    <x v="6"/>
    <s v="100000+"/>
    <x v="7"/>
    <s v="instant"/>
    <n v="0.375"/>
    <x v="2"/>
    <n v="7"/>
    <x v="2"/>
    <x v="0"/>
    <n v="2428"/>
    <s v="local store"/>
    <x v="2"/>
    <x v="1"/>
    <x v="2"/>
  </r>
  <r>
    <n v="667"/>
    <n v="76155"/>
    <x v="2"/>
    <x v="0"/>
    <s v="Indore"/>
    <x v="10"/>
    <x v="3"/>
    <s v="100000+"/>
    <x v="3"/>
    <s v="instant"/>
    <n v="2.2000000000000002"/>
    <x v="2"/>
    <n v="7"/>
    <x v="0"/>
    <x v="2"/>
    <n v="2922"/>
    <s v="supermarket"/>
    <x v="0"/>
    <x v="0"/>
    <x v="0"/>
  </r>
  <r>
    <n v="668"/>
    <n v="48741"/>
    <x v="0"/>
    <x v="1"/>
    <s v="Delhi"/>
    <x v="2"/>
    <x v="7"/>
    <s v="15000-30000"/>
    <x v="6"/>
    <s v="cold brew"/>
    <n v="1.1000000000000001"/>
    <x v="2"/>
    <n v="7"/>
    <x v="0"/>
    <x v="1"/>
    <n v="383"/>
    <s v="local store"/>
    <x v="1"/>
    <x v="3"/>
    <x v="1"/>
  </r>
  <r>
    <n v="669"/>
    <n v="32193"/>
    <x v="1"/>
    <x v="0"/>
    <s v="Coimbatore"/>
    <x v="6"/>
    <x v="4"/>
    <s v="15000-30000"/>
    <x v="2"/>
    <s v="cold brew"/>
    <n v="0.625"/>
    <x v="2"/>
    <n v="7"/>
    <x v="0"/>
    <x v="2"/>
    <n v="545"/>
    <s v="online"/>
    <x v="2"/>
    <x v="2"/>
    <x v="0"/>
  </r>
  <r>
    <n v="670"/>
    <n v="36084"/>
    <x v="3"/>
    <x v="1"/>
    <s v="Jaipur"/>
    <x v="3"/>
    <x v="0"/>
    <s v="60000-100000"/>
    <x v="5"/>
    <s v="instant"/>
    <n v="1.1000000000000001"/>
    <x v="1"/>
    <n v="3"/>
    <x v="1"/>
    <x v="3"/>
    <n v="1412"/>
    <s v="supermarket"/>
    <x v="1"/>
    <x v="3"/>
    <x v="2"/>
  </r>
  <r>
    <n v="671"/>
    <n v="15848"/>
    <x v="2"/>
    <x v="1"/>
    <s v="Bengaluru"/>
    <x v="0"/>
    <x v="5"/>
    <s v="&lt;15000"/>
    <x v="0"/>
    <s v="filter"/>
    <n v="1.2"/>
    <x v="0"/>
    <n v="1"/>
    <x v="1"/>
    <x v="3"/>
    <n v="286"/>
    <s v="Cafa"/>
    <x v="1"/>
    <x v="0"/>
    <x v="1"/>
  </r>
  <r>
    <n v="672"/>
    <n v="91427"/>
    <x v="2"/>
    <x v="1"/>
    <s v="Pune"/>
    <x v="4"/>
    <x v="2"/>
    <s v="30000-60000"/>
    <x v="5"/>
    <s v="filter"/>
    <n v="1.1000000000000001"/>
    <x v="2"/>
    <n v="7"/>
    <x v="0"/>
    <x v="3"/>
    <n v="670"/>
    <s v="supermarket"/>
    <x v="1"/>
    <x v="2"/>
    <x v="2"/>
  </r>
  <r>
    <n v="673"/>
    <n v="17961"/>
    <x v="2"/>
    <x v="0"/>
    <s v="Pune"/>
    <x v="4"/>
    <x v="2"/>
    <s v="100000+"/>
    <x v="0"/>
    <s v="cold brew"/>
    <n v="2.4"/>
    <x v="2"/>
    <n v="7"/>
    <x v="2"/>
    <x v="5"/>
    <n v="1321"/>
    <s v="supermarket"/>
    <x v="0"/>
    <x v="1"/>
    <x v="2"/>
  </r>
  <r>
    <n v="674"/>
    <n v="39050"/>
    <x v="2"/>
    <x v="1"/>
    <s v="Coimbatore"/>
    <x v="6"/>
    <x v="8"/>
    <s v="30000-60000"/>
    <x v="1"/>
    <s v="cold brew"/>
    <n v="1"/>
    <x v="2"/>
    <n v="7"/>
    <x v="2"/>
    <x v="3"/>
    <n v="881"/>
    <s v="online"/>
    <x v="1"/>
    <x v="1"/>
    <x v="0"/>
  </r>
  <r>
    <n v="675"/>
    <n v="10656"/>
    <x v="3"/>
    <x v="1"/>
    <s v="Hyderabad"/>
    <x v="1"/>
    <x v="7"/>
    <s v="15000-30000"/>
    <x v="6"/>
    <s v="instant"/>
    <n v="2.2000000000000002"/>
    <x v="2"/>
    <n v="7"/>
    <x v="2"/>
    <x v="1"/>
    <n v="465"/>
    <s v="Cafa"/>
    <x v="0"/>
    <x v="0"/>
    <x v="1"/>
  </r>
  <r>
    <n v="676"/>
    <n v="46705"/>
    <x v="2"/>
    <x v="0"/>
    <s v="Vizag"/>
    <x v="7"/>
    <x v="2"/>
    <s v="&lt;15000"/>
    <x v="2"/>
    <s v="instant"/>
    <n v="2.5"/>
    <x v="0"/>
    <n v="1"/>
    <x v="2"/>
    <x v="5"/>
    <n v="151"/>
    <s v="supermarket"/>
    <x v="0"/>
    <x v="2"/>
    <x v="0"/>
  </r>
  <r>
    <n v="677"/>
    <n v="31415"/>
    <x v="3"/>
    <x v="1"/>
    <s v="Nagpur"/>
    <x v="4"/>
    <x v="0"/>
    <s v="60000-100000"/>
    <x v="7"/>
    <s v="espresso"/>
    <n v="1.5"/>
    <x v="1"/>
    <n v="3"/>
    <x v="1"/>
    <x v="1"/>
    <n v="924"/>
    <s v="Cafa"/>
    <x v="3"/>
    <x v="1"/>
    <x v="2"/>
  </r>
  <r>
    <n v="678"/>
    <n v="38755"/>
    <x v="2"/>
    <x v="1"/>
    <s v="Kochi"/>
    <x v="8"/>
    <x v="3"/>
    <s v="30000-60000"/>
    <x v="6"/>
    <s v="instant"/>
    <n v="2.2000000000000002"/>
    <x v="2"/>
    <n v="7"/>
    <x v="1"/>
    <x v="3"/>
    <n v="538"/>
    <s v="Cafa"/>
    <x v="0"/>
    <x v="3"/>
    <x v="2"/>
  </r>
  <r>
    <n v="679"/>
    <n v="70197"/>
    <x v="1"/>
    <x v="1"/>
    <s v="Kochi"/>
    <x v="8"/>
    <x v="9"/>
    <s v="60000-100000"/>
    <x v="7"/>
    <s v="ready-to-drink"/>
    <n v="1.5"/>
    <x v="2"/>
    <n v="7"/>
    <x v="0"/>
    <x v="0"/>
    <n v="1025"/>
    <s v="Cafa"/>
    <x v="3"/>
    <x v="1"/>
    <x v="2"/>
  </r>
  <r>
    <n v="680"/>
    <n v="82707"/>
    <x v="3"/>
    <x v="1"/>
    <s v="Chennai"/>
    <x v="6"/>
    <x v="3"/>
    <s v="30000-60000"/>
    <x v="1"/>
    <s v="instant"/>
    <n v="0.5"/>
    <x v="2"/>
    <n v="7"/>
    <x v="0"/>
    <x v="0"/>
    <n v="436"/>
    <s v="online"/>
    <x v="2"/>
    <x v="1"/>
    <x v="1"/>
  </r>
  <r>
    <n v="681"/>
    <n v="21077"/>
    <x v="3"/>
    <x v="0"/>
    <s v="Kochi"/>
    <x v="8"/>
    <x v="0"/>
    <s v="&lt;15000"/>
    <x v="0"/>
    <s v="filter"/>
    <n v="0.6"/>
    <x v="2"/>
    <n v="7"/>
    <x v="0"/>
    <x v="1"/>
    <n v="388"/>
    <s v="local store"/>
    <x v="2"/>
    <x v="2"/>
    <x v="2"/>
  </r>
  <r>
    <n v="682"/>
    <n v="69422"/>
    <x v="4"/>
    <x v="0"/>
    <s v="Kolkata"/>
    <x v="5"/>
    <x v="8"/>
    <s v="15000-30000"/>
    <x v="4"/>
    <s v="instant"/>
    <n v="1.1000000000000001"/>
    <x v="2"/>
    <n v="7"/>
    <x v="1"/>
    <x v="5"/>
    <n v="299"/>
    <s v="Cafa"/>
    <x v="1"/>
    <x v="1"/>
    <x v="1"/>
  </r>
  <r>
    <n v="683"/>
    <n v="34809"/>
    <x v="1"/>
    <x v="0"/>
    <s v="Mumbai"/>
    <x v="4"/>
    <x v="6"/>
    <s v="60000-100000"/>
    <x v="6"/>
    <s v="ready-to-drink"/>
    <n v="2.2000000000000002"/>
    <x v="2"/>
    <n v="7"/>
    <x v="0"/>
    <x v="0"/>
    <n v="1397"/>
    <s v="supermarket"/>
    <x v="3"/>
    <x v="3"/>
    <x v="1"/>
  </r>
  <r>
    <n v="684"/>
    <n v="58798"/>
    <x v="3"/>
    <x v="0"/>
    <s v="Mumbai"/>
    <x v="4"/>
    <x v="4"/>
    <s v="15000-30000"/>
    <x v="6"/>
    <s v="espresso"/>
    <n v="0.55000000000000004"/>
    <x v="2"/>
    <n v="7"/>
    <x v="2"/>
    <x v="2"/>
    <n v="252"/>
    <s v="supermarket"/>
    <x v="2"/>
    <x v="1"/>
    <x v="1"/>
  </r>
  <r>
    <n v="685"/>
    <n v="82076"/>
    <x v="2"/>
    <x v="0"/>
    <s v="Vizag"/>
    <x v="7"/>
    <x v="2"/>
    <s v="30000-60000"/>
    <x v="6"/>
    <s v="filter"/>
    <n v="2.2000000000000002"/>
    <x v="2"/>
    <n v="7"/>
    <x v="0"/>
    <x v="4"/>
    <n v="878"/>
    <s v="local store"/>
    <x v="3"/>
    <x v="3"/>
    <x v="0"/>
  </r>
  <r>
    <n v="686"/>
    <n v="84392"/>
    <x v="0"/>
    <x v="0"/>
    <s v="Kolkata"/>
    <x v="5"/>
    <x v="7"/>
    <s v="30000-60000"/>
    <x v="5"/>
    <s v="instant"/>
    <n v="2.2000000000000002"/>
    <x v="2"/>
    <n v="7"/>
    <x v="1"/>
    <x v="4"/>
    <n v="639"/>
    <s v="local store"/>
    <x v="0"/>
    <x v="0"/>
    <x v="1"/>
  </r>
  <r>
    <n v="687"/>
    <n v="53019"/>
    <x v="1"/>
    <x v="0"/>
    <s v="Indore"/>
    <x v="10"/>
    <x v="3"/>
    <s v="30000-60000"/>
    <x v="5"/>
    <s v="instant"/>
    <n v="1.1000000000000001"/>
    <x v="2"/>
    <n v="7"/>
    <x v="0"/>
    <x v="0"/>
    <n v="609"/>
    <s v="online"/>
    <x v="1"/>
    <x v="3"/>
    <x v="0"/>
  </r>
  <r>
    <n v="688"/>
    <n v="32915"/>
    <x v="3"/>
    <x v="1"/>
    <s v="Nagpur"/>
    <x v="4"/>
    <x v="7"/>
    <s v="15000-30000"/>
    <x v="5"/>
    <s v="instant"/>
    <n v="0.55000000000000004"/>
    <x v="2"/>
    <n v="7"/>
    <x v="1"/>
    <x v="5"/>
    <n v="551"/>
    <s v="online"/>
    <x v="2"/>
    <x v="0"/>
    <x v="2"/>
  </r>
  <r>
    <n v="689"/>
    <n v="91019"/>
    <x v="1"/>
    <x v="0"/>
    <s v="Kochi"/>
    <x v="8"/>
    <x v="5"/>
    <s v="30000-60000"/>
    <x v="0"/>
    <s v="cold brew"/>
    <n v="0.6"/>
    <x v="0"/>
    <n v="1"/>
    <x v="1"/>
    <x v="1"/>
    <n v="719"/>
    <s v="Cafa"/>
    <x v="2"/>
    <x v="1"/>
    <x v="2"/>
  </r>
  <r>
    <n v="690"/>
    <n v="52538"/>
    <x v="0"/>
    <x v="0"/>
    <s v="Hyderabad"/>
    <x v="1"/>
    <x v="0"/>
    <s v="&lt;15000"/>
    <x v="0"/>
    <s v="instant"/>
    <n v="2.4"/>
    <x v="1"/>
    <n v="3"/>
    <x v="0"/>
    <x v="0"/>
    <n v="275"/>
    <s v="local store"/>
    <x v="0"/>
    <x v="3"/>
    <x v="1"/>
  </r>
  <r>
    <n v="691"/>
    <n v="43873"/>
    <x v="2"/>
    <x v="1"/>
    <s v="Nagpur"/>
    <x v="4"/>
    <x v="5"/>
    <s v="15000-30000"/>
    <x v="4"/>
    <s v="espresso"/>
    <n v="2.2000000000000002"/>
    <x v="2"/>
    <n v="7"/>
    <x v="0"/>
    <x v="5"/>
    <n v="289"/>
    <s v="online"/>
    <x v="3"/>
    <x v="0"/>
    <x v="2"/>
  </r>
  <r>
    <n v="692"/>
    <n v="39822"/>
    <x v="4"/>
    <x v="0"/>
    <s v="Jaipur"/>
    <x v="3"/>
    <x v="0"/>
    <s v="&lt;15000"/>
    <x v="5"/>
    <s v="espresso"/>
    <n v="0.55000000000000004"/>
    <x v="2"/>
    <n v="7"/>
    <x v="0"/>
    <x v="0"/>
    <n v="178"/>
    <s v="supermarket"/>
    <x v="2"/>
    <x v="0"/>
    <x v="2"/>
  </r>
  <r>
    <n v="693"/>
    <n v="45831"/>
    <x v="2"/>
    <x v="0"/>
    <s v="Nagpur"/>
    <x v="4"/>
    <x v="4"/>
    <s v="30000-60000"/>
    <x v="3"/>
    <s v="cold brew"/>
    <n v="2.2000000000000002"/>
    <x v="0"/>
    <n v="1"/>
    <x v="1"/>
    <x v="1"/>
    <n v="584"/>
    <s v="online"/>
    <x v="0"/>
    <x v="1"/>
    <x v="2"/>
  </r>
  <r>
    <n v="694"/>
    <n v="52869"/>
    <x v="1"/>
    <x v="0"/>
    <s v="Nagpur"/>
    <x v="4"/>
    <x v="2"/>
    <s v="60000-100000"/>
    <x v="2"/>
    <s v="cold brew"/>
    <n v="1.25"/>
    <x v="1"/>
    <n v="3"/>
    <x v="0"/>
    <x v="1"/>
    <n v="898"/>
    <s v="supermarket"/>
    <x v="1"/>
    <x v="1"/>
    <x v="2"/>
  </r>
  <r>
    <n v="695"/>
    <n v="55424"/>
    <x v="2"/>
    <x v="1"/>
    <s v="Coimbatore"/>
    <x v="6"/>
    <x v="6"/>
    <s v="&lt;15000"/>
    <x v="0"/>
    <s v="cold brew"/>
    <n v="2.4"/>
    <x v="2"/>
    <n v="7"/>
    <x v="0"/>
    <x v="0"/>
    <n v="190"/>
    <s v="local store"/>
    <x v="0"/>
    <x v="2"/>
    <x v="0"/>
  </r>
  <r>
    <n v="696"/>
    <n v="61184"/>
    <x v="1"/>
    <x v="0"/>
    <s v="Bengaluru"/>
    <x v="0"/>
    <x v="6"/>
    <s v="60000-100000"/>
    <x v="3"/>
    <s v="filter"/>
    <n v="2.2000000000000002"/>
    <x v="2"/>
    <n v="7"/>
    <x v="1"/>
    <x v="1"/>
    <n v="1274"/>
    <s v="supermarket"/>
    <x v="0"/>
    <x v="3"/>
    <x v="1"/>
  </r>
  <r>
    <n v="697"/>
    <n v="21160"/>
    <x v="4"/>
    <x v="0"/>
    <s v="Ahmedabad"/>
    <x v="9"/>
    <x v="8"/>
    <s v="100000+"/>
    <x v="4"/>
    <s v="espresso"/>
    <n v="2.2000000000000002"/>
    <x v="2"/>
    <n v="7"/>
    <x v="0"/>
    <x v="5"/>
    <n v="2446"/>
    <s v="online"/>
    <x v="0"/>
    <x v="2"/>
    <x v="2"/>
  </r>
  <r>
    <n v="698"/>
    <n v="97355"/>
    <x v="0"/>
    <x v="0"/>
    <s v="Kolkata"/>
    <x v="5"/>
    <x v="0"/>
    <s v="&lt;15000"/>
    <x v="3"/>
    <s v="instant"/>
    <n v="2.2000000000000002"/>
    <x v="1"/>
    <n v="3"/>
    <x v="0"/>
    <x v="0"/>
    <n v="207"/>
    <s v="supermarket"/>
    <x v="0"/>
    <x v="2"/>
    <x v="1"/>
  </r>
  <r>
    <n v="699"/>
    <n v="85155"/>
    <x v="1"/>
    <x v="0"/>
    <s v="Nagpur"/>
    <x v="4"/>
    <x v="5"/>
    <s v="15000-30000"/>
    <x v="5"/>
    <s v="filter"/>
    <n v="1.1000000000000001"/>
    <x v="1"/>
    <n v="3"/>
    <x v="2"/>
    <x v="1"/>
    <n v="330"/>
    <s v="supermarket"/>
    <x v="1"/>
    <x v="0"/>
    <x v="2"/>
  </r>
  <r>
    <n v="700"/>
    <n v="91233"/>
    <x v="1"/>
    <x v="1"/>
    <s v="Delhi"/>
    <x v="2"/>
    <x v="1"/>
    <s v="&lt;15000"/>
    <x v="2"/>
    <s v="ready-to-drink"/>
    <n v="1.25"/>
    <x v="2"/>
    <n v="7"/>
    <x v="1"/>
    <x v="0"/>
    <n v="169"/>
    <s v="Cafa"/>
    <x v="1"/>
    <x v="3"/>
    <x v="1"/>
  </r>
  <r>
    <n v="701"/>
    <n v="86862"/>
    <x v="2"/>
    <x v="0"/>
    <s v="Nagpur"/>
    <x v="4"/>
    <x v="7"/>
    <s v="15000-30000"/>
    <x v="2"/>
    <s v="instant"/>
    <n v="1.25"/>
    <x v="2"/>
    <n v="7"/>
    <x v="1"/>
    <x v="0"/>
    <n v="569"/>
    <s v="local store"/>
    <x v="1"/>
    <x v="2"/>
    <x v="2"/>
  </r>
  <r>
    <n v="702"/>
    <n v="49529"/>
    <x v="0"/>
    <x v="0"/>
    <s v="Mumbai"/>
    <x v="4"/>
    <x v="2"/>
    <s v="&lt;15000"/>
    <x v="2"/>
    <s v="instant"/>
    <n v="2.5"/>
    <x v="2"/>
    <n v="7"/>
    <x v="0"/>
    <x v="0"/>
    <n v="228"/>
    <s v="local store"/>
    <x v="0"/>
    <x v="0"/>
    <x v="1"/>
  </r>
  <r>
    <n v="703"/>
    <n v="71802"/>
    <x v="3"/>
    <x v="0"/>
    <s v="Chennai"/>
    <x v="6"/>
    <x v="0"/>
    <s v="30000-60000"/>
    <x v="1"/>
    <s v="cold brew"/>
    <n v="2"/>
    <x v="2"/>
    <n v="7"/>
    <x v="0"/>
    <x v="1"/>
    <n v="530"/>
    <s v="Cafa"/>
    <x v="3"/>
    <x v="3"/>
    <x v="1"/>
  </r>
  <r>
    <n v="704"/>
    <n v="95128"/>
    <x v="2"/>
    <x v="0"/>
    <s v="Mumbai"/>
    <x v="4"/>
    <x v="7"/>
    <s v="30000-60000"/>
    <x v="6"/>
    <s v="instant"/>
    <n v="1.1000000000000001"/>
    <x v="2"/>
    <n v="7"/>
    <x v="0"/>
    <x v="0"/>
    <n v="559"/>
    <s v="local store"/>
    <x v="1"/>
    <x v="2"/>
    <x v="1"/>
  </r>
  <r>
    <n v="705"/>
    <n v="89186"/>
    <x v="1"/>
    <x v="0"/>
    <s v="Coimbatore"/>
    <x v="6"/>
    <x v="3"/>
    <s v="15000-30000"/>
    <x v="4"/>
    <s v="instant"/>
    <n v="2.2000000000000002"/>
    <x v="2"/>
    <n v="7"/>
    <x v="0"/>
    <x v="3"/>
    <n v="262"/>
    <s v="supermarket"/>
    <x v="0"/>
    <x v="0"/>
    <x v="0"/>
  </r>
  <r>
    <n v="706"/>
    <n v="88489"/>
    <x v="2"/>
    <x v="0"/>
    <s v="Indore"/>
    <x v="10"/>
    <x v="3"/>
    <s v="&lt;15000"/>
    <x v="0"/>
    <s v="ready-to-drink"/>
    <n v="2.4"/>
    <x v="2"/>
    <n v="7"/>
    <x v="1"/>
    <x v="1"/>
    <n v="358"/>
    <s v="Cafa"/>
    <x v="3"/>
    <x v="0"/>
    <x v="0"/>
  </r>
  <r>
    <n v="707"/>
    <n v="88259"/>
    <x v="0"/>
    <x v="1"/>
    <s v="Delhi"/>
    <x v="2"/>
    <x v="3"/>
    <s v="15000-30000"/>
    <x v="3"/>
    <s v="ready-to-drink"/>
    <n v="2.2000000000000002"/>
    <x v="2"/>
    <n v="7"/>
    <x v="0"/>
    <x v="2"/>
    <n v="352"/>
    <s v="Cafa"/>
    <x v="0"/>
    <x v="3"/>
    <x v="1"/>
  </r>
  <r>
    <n v="708"/>
    <n v="13557"/>
    <x v="1"/>
    <x v="0"/>
    <s v="Vizag"/>
    <x v="7"/>
    <x v="7"/>
    <s v="100000+"/>
    <x v="5"/>
    <s v="espresso"/>
    <n v="2.2000000000000002"/>
    <x v="2"/>
    <n v="7"/>
    <x v="2"/>
    <x v="0"/>
    <n v="1746"/>
    <s v="local store"/>
    <x v="0"/>
    <x v="3"/>
    <x v="0"/>
  </r>
  <r>
    <n v="709"/>
    <n v="13913"/>
    <x v="4"/>
    <x v="0"/>
    <s v="Hyderabad"/>
    <x v="1"/>
    <x v="1"/>
    <s v="30000-60000"/>
    <x v="1"/>
    <s v="instant"/>
    <n v="2"/>
    <x v="0"/>
    <n v="1"/>
    <x v="1"/>
    <x v="1"/>
    <n v="736"/>
    <s v="online"/>
    <x v="0"/>
    <x v="1"/>
    <x v="1"/>
  </r>
  <r>
    <n v="710"/>
    <n v="46822"/>
    <x v="0"/>
    <x v="0"/>
    <s v="Nagpur"/>
    <x v="4"/>
    <x v="8"/>
    <s v="&lt;15000"/>
    <x v="7"/>
    <s v="instant"/>
    <n v="0.375"/>
    <x v="2"/>
    <n v="7"/>
    <x v="0"/>
    <x v="1"/>
    <n v="267"/>
    <s v="supermarket"/>
    <x v="2"/>
    <x v="2"/>
    <x v="2"/>
  </r>
  <r>
    <n v="711"/>
    <n v="56695"/>
    <x v="3"/>
    <x v="0"/>
    <s v="Mumbai"/>
    <x v="4"/>
    <x v="6"/>
    <s v="100000+"/>
    <x v="0"/>
    <s v="instant"/>
    <n v="1.2"/>
    <x v="2"/>
    <n v="7"/>
    <x v="0"/>
    <x v="4"/>
    <n v="2261"/>
    <s v="supermarket"/>
    <x v="1"/>
    <x v="2"/>
    <x v="1"/>
  </r>
  <r>
    <n v="712"/>
    <n v="95129"/>
    <x v="1"/>
    <x v="0"/>
    <s v="Nagpur"/>
    <x v="4"/>
    <x v="2"/>
    <s v="15000-30000"/>
    <x v="2"/>
    <s v="cold brew"/>
    <n v="2.5"/>
    <x v="2"/>
    <n v="7"/>
    <x v="2"/>
    <x v="1"/>
    <n v="317"/>
    <s v="online"/>
    <x v="3"/>
    <x v="1"/>
    <x v="2"/>
  </r>
  <r>
    <n v="713"/>
    <n v="11946"/>
    <x v="0"/>
    <x v="0"/>
    <s v="Coimbatore"/>
    <x v="6"/>
    <x v="2"/>
    <s v="30000-60000"/>
    <x v="0"/>
    <s v="filter"/>
    <n v="1.2"/>
    <x v="2"/>
    <n v="7"/>
    <x v="2"/>
    <x v="1"/>
    <n v="834"/>
    <s v="Cafa"/>
    <x v="1"/>
    <x v="0"/>
    <x v="0"/>
  </r>
  <r>
    <n v="714"/>
    <n v="45132"/>
    <x v="0"/>
    <x v="0"/>
    <s v="Indore"/>
    <x v="10"/>
    <x v="5"/>
    <s v="15000-30000"/>
    <x v="0"/>
    <s v="instant"/>
    <n v="0.6"/>
    <x v="0"/>
    <n v="1"/>
    <x v="0"/>
    <x v="1"/>
    <n v="527"/>
    <s v="online"/>
    <x v="2"/>
    <x v="3"/>
    <x v="0"/>
  </r>
  <r>
    <n v="715"/>
    <n v="69097"/>
    <x v="0"/>
    <x v="0"/>
    <s v="Mysuru"/>
    <x v="0"/>
    <x v="7"/>
    <s v="30000-60000"/>
    <x v="3"/>
    <s v="instant"/>
    <n v="2.2000000000000002"/>
    <x v="2"/>
    <n v="7"/>
    <x v="0"/>
    <x v="1"/>
    <n v="445"/>
    <s v="online"/>
    <x v="3"/>
    <x v="1"/>
    <x v="0"/>
  </r>
  <r>
    <n v="716"/>
    <n v="87424"/>
    <x v="1"/>
    <x v="1"/>
    <s v="Chennai"/>
    <x v="6"/>
    <x v="8"/>
    <s v="30000-60000"/>
    <x v="0"/>
    <s v="filter"/>
    <n v="0.6"/>
    <x v="2"/>
    <n v="7"/>
    <x v="1"/>
    <x v="0"/>
    <n v="817"/>
    <s v="Cafa"/>
    <x v="2"/>
    <x v="3"/>
    <x v="1"/>
  </r>
  <r>
    <n v="717"/>
    <n v="80897"/>
    <x v="2"/>
    <x v="1"/>
    <s v="Nagpur"/>
    <x v="4"/>
    <x v="3"/>
    <s v="60000-100000"/>
    <x v="4"/>
    <s v="instant"/>
    <n v="1.1000000000000001"/>
    <x v="2"/>
    <n v="7"/>
    <x v="1"/>
    <x v="1"/>
    <n v="1313"/>
    <s v="supermarket"/>
    <x v="1"/>
    <x v="2"/>
    <x v="2"/>
  </r>
  <r>
    <n v="718"/>
    <n v="77969"/>
    <x v="4"/>
    <x v="1"/>
    <s v="Chennai"/>
    <x v="6"/>
    <x v="7"/>
    <s v="60000-100000"/>
    <x v="0"/>
    <s v="filter"/>
    <n v="1.2"/>
    <x v="1"/>
    <n v="3"/>
    <x v="0"/>
    <x v="0"/>
    <n v="815"/>
    <s v="supermarket"/>
    <x v="1"/>
    <x v="3"/>
    <x v="1"/>
  </r>
  <r>
    <n v="719"/>
    <n v="30496"/>
    <x v="1"/>
    <x v="1"/>
    <s v="Kochi"/>
    <x v="8"/>
    <x v="6"/>
    <s v="&lt;15000"/>
    <x v="2"/>
    <s v="cold brew"/>
    <n v="2.5"/>
    <x v="2"/>
    <n v="7"/>
    <x v="0"/>
    <x v="1"/>
    <n v="246"/>
    <s v="online"/>
    <x v="3"/>
    <x v="3"/>
    <x v="2"/>
  </r>
  <r>
    <n v="720"/>
    <n v="28455"/>
    <x v="1"/>
    <x v="0"/>
    <s v="Mysuru"/>
    <x v="0"/>
    <x v="6"/>
    <s v="100000+"/>
    <x v="4"/>
    <s v="ready-to-drink"/>
    <n v="1.1000000000000001"/>
    <x v="2"/>
    <n v="7"/>
    <x v="0"/>
    <x v="1"/>
    <n v="2401"/>
    <s v="supermarket"/>
    <x v="1"/>
    <x v="2"/>
    <x v="0"/>
  </r>
  <r>
    <n v="721"/>
    <n v="48266"/>
    <x v="1"/>
    <x v="0"/>
    <s v="Delhi"/>
    <x v="2"/>
    <x v="0"/>
    <s v="100000+"/>
    <x v="7"/>
    <s v="cold brew"/>
    <n v="0.375"/>
    <x v="2"/>
    <n v="7"/>
    <x v="0"/>
    <x v="0"/>
    <n v="2239"/>
    <s v="online"/>
    <x v="2"/>
    <x v="1"/>
    <x v="1"/>
  </r>
  <r>
    <n v="722"/>
    <n v="63731"/>
    <x v="3"/>
    <x v="0"/>
    <s v="Kolkata"/>
    <x v="5"/>
    <x v="9"/>
    <s v="100000+"/>
    <x v="3"/>
    <s v="instant"/>
    <n v="0.55000000000000004"/>
    <x v="2"/>
    <n v="7"/>
    <x v="2"/>
    <x v="0"/>
    <n v="1999"/>
    <s v="Cafa"/>
    <x v="2"/>
    <x v="1"/>
    <x v="1"/>
  </r>
  <r>
    <n v="723"/>
    <n v="85632"/>
    <x v="1"/>
    <x v="1"/>
    <s v="Hyderabad"/>
    <x v="1"/>
    <x v="5"/>
    <s v="30000-60000"/>
    <x v="2"/>
    <s v="ready-to-drink"/>
    <n v="2.5"/>
    <x v="2"/>
    <n v="7"/>
    <x v="0"/>
    <x v="5"/>
    <n v="738"/>
    <s v="local store"/>
    <x v="3"/>
    <x v="1"/>
    <x v="1"/>
  </r>
  <r>
    <n v="724"/>
    <n v="73758"/>
    <x v="2"/>
    <x v="1"/>
    <s v="Mysuru"/>
    <x v="0"/>
    <x v="3"/>
    <s v="15000-30000"/>
    <x v="3"/>
    <s v="ready-to-drink"/>
    <n v="1.1000000000000001"/>
    <x v="0"/>
    <n v="1"/>
    <x v="0"/>
    <x v="1"/>
    <n v="574"/>
    <s v="Cafa"/>
    <x v="1"/>
    <x v="3"/>
    <x v="0"/>
  </r>
  <r>
    <n v="725"/>
    <n v="95506"/>
    <x v="3"/>
    <x v="1"/>
    <s v="Coimbatore"/>
    <x v="6"/>
    <x v="8"/>
    <s v="30000-60000"/>
    <x v="0"/>
    <s v="filter"/>
    <n v="1.2"/>
    <x v="1"/>
    <n v="3"/>
    <x v="1"/>
    <x v="4"/>
    <n v="401"/>
    <s v="Cafa"/>
    <x v="1"/>
    <x v="3"/>
    <x v="0"/>
  </r>
  <r>
    <n v="726"/>
    <n v="55186"/>
    <x v="2"/>
    <x v="0"/>
    <s v="Delhi"/>
    <x v="2"/>
    <x v="9"/>
    <s v="60000-100000"/>
    <x v="5"/>
    <s v="filter"/>
    <n v="1.1000000000000001"/>
    <x v="1"/>
    <n v="3"/>
    <x v="1"/>
    <x v="0"/>
    <n v="1445"/>
    <s v="supermarket"/>
    <x v="1"/>
    <x v="2"/>
    <x v="1"/>
  </r>
  <r>
    <n v="727"/>
    <n v="17657"/>
    <x v="4"/>
    <x v="1"/>
    <s v="Hyderabad"/>
    <x v="1"/>
    <x v="2"/>
    <s v="15000-30000"/>
    <x v="2"/>
    <s v="instant"/>
    <n v="0.625"/>
    <x v="1"/>
    <n v="3"/>
    <x v="1"/>
    <x v="4"/>
    <n v="517"/>
    <s v="Cafa"/>
    <x v="2"/>
    <x v="2"/>
    <x v="1"/>
  </r>
  <r>
    <n v="728"/>
    <n v="67053"/>
    <x v="1"/>
    <x v="1"/>
    <s v="Jaipur"/>
    <x v="3"/>
    <x v="0"/>
    <s v="&lt;15000"/>
    <x v="1"/>
    <s v="filter"/>
    <n v="2"/>
    <x v="2"/>
    <n v="7"/>
    <x v="2"/>
    <x v="0"/>
    <n v="376"/>
    <s v="online"/>
    <x v="0"/>
    <x v="3"/>
    <x v="2"/>
  </r>
  <r>
    <n v="729"/>
    <n v="27255"/>
    <x v="2"/>
    <x v="1"/>
    <s v="Indore"/>
    <x v="10"/>
    <x v="1"/>
    <s v="&lt;15000"/>
    <x v="4"/>
    <s v="filter"/>
    <n v="2.2000000000000002"/>
    <x v="2"/>
    <n v="7"/>
    <x v="1"/>
    <x v="1"/>
    <n v="154"/>
    <s v="Cafa"/>
    <x v="3"/>
    <x v="1"/>
    <x v="0"/>
  </r>
  <r>
    <n v="730"/>
    <n v="25255"/>
    <x v="3"/>
    <x v="0"/>
    <s v="Kolkata"/>
    <x v="5"/>
    <x v="5"/>
    <s v="30000-60000"/>
    <x v="7"/>
    <s v="cold brew"/>
    <n v="0.375"/>
    <x v="0"/>
    <n v="1"/>
    <x v="2"/>
    <x v="0"/>
    <n v="753"/>
    <s v="online"/>
    <x v="2"/>
    <x v="1"/>
    <x v="1"/>
  </r>
  <r>
    <n v="731"/>
    <n v="48846"/>
    <x v="4"/>
    <x v="0"/>
    <s v="Hyderabad"/>
    <x v="1"/>
    <x v="0"/>
    <s v="15000-30000"/>
    <x v="1"/>
    <s v="instant"/>
    <n v="0.5"/>
    <x v="2"/>
    <n v="7"/>
    <x v="1"/>
    <x v="1"/>
    <n v="365"/>
    <s v="Cafa"/>
    <x v="2"/>
    <x v="3"/>
    <x v="1"/>
  </r>
  <r>
    <n v="732"/>
    <n v="95054"/>
    <x v="4"/>
    <x v="1"/>
    <s v="Indore"/>
    <x v="10"/>
    <x v="4"/>
    <s v="60000-100000"/>
    <x v="4"/>
    <s v="instant"/>
    <n v="2.2000000000000002"/>
    <x v="2"/>
    <n v="7"/>
    <x v="0"/>
    <x v="1"/>
    <n v="1449"/>
    <s v="Cafa"/>
    <x v="3"/>
    <x v="0"/>
    <x v="0"/>
  </r>
  <r>
    <n v="733"/>
    <n v="34253"/>
    <x v="4"/>
    <x v="0"/>
    <s v="Chennai"/>
    <x v="6"/>
    <x v="0"/>
    <s v="100000+"/>
    <x v="2"/>
    <s v="instant"/>
    <n v="0.625"/>
    <x v="2"/>
    <n v="7"/>
    <x v="0"/>
    <x v="1"/>
    <n v="2180"/>
    <s v="local store"/>
    <x v="2"/>
    <x v="1"/>
    <x v="1"/>
  </r>
  <r>
    <n v="734"/>
    <n v="87930"/>
    <x v="3"/>
    <x v="0"/>
    <s v="Mumbai"/>
    <x v="4"/>
    <x v="6"/>
    <s v="&lt;15000"/>
    <x v="3"/>
    <s v="instant"/>
    <n v="2.2000000000000002"/>
    <x v="2"/>
    <n v="7"/>
    <x v="1"/>
    <x v="0"/>
    <n v="232"/>
    <s v="Cafa"/>
    <x v="3"/>
    <x v="2"/>
    <x v="1"/>
  </r>
  <r>
    <n v="735"/>
    <n v="89600"/>
    <x v="0"/>
    <x v="1"/>
    <s v="Kolkata"/>
    <x v="5"/>
    <x v="0"/>
    <s v="15000-30000"/>
    <x v="0"/>
    <s v="cold brew"/>
    <n v="2.4"/>
    <x v="0"/>
    <n v="1"/>
    <x v="0"/>
    <x v="3"/>
    <n v="316"/>
    <s v="supermarket"/>
    <x v="0"/>
    <x v="1"/>
    <x v="1"/>
  </r>
  <r>
    <n v="736"/>
    <n v="63246"/>
    <x v="1"/>
    <x v="0"/>
    <s v="Kochi"/>
    <x v="8"/>
    <x v="9"/>
    <s v="30000-60000"/>
    <x v="3"/>
    <s v="instant"/>
    <n v="1.1000000000000001"/>
    <x v="0"/>
    <n v="1"/>
    <x v="1"/>
    <x v="1"/>
    <n v="888"/>
    <s v="online"/>
    <x v="1"/>
    <x v="3"/>
    <x v="2"/>
  </r>
  <r>
    <n v="737"/>
    <n v="23601"/>
    <x v="4"/>
    <x v="0"/>
    <s v="Kolkata"/>
    <x v="5"/>
    <x v="4"/>
    <s v="60000-100000"/>
    <x v="3"/>
    <s v="ready-to-drink"/>
    <n v="0.55000000000000004"/>
    <x v="1"/>
    <n v="3"/>
    <x v="0"/>
    <x v="1"/>
    <n v="1051"/>
    <s v="supermarket"/>
    <x v="2"/>
    <x v="2"/>
    <x v="1"/>
  </r>
  <r>
    <n v="738"/>
    <n v="17084"/>
    <x v="2"/>
    <x v="1"/>
    <s v="Kochi"/>
    <x v="8"/>
    <x v="0"/>
    <s v="15000-30000"/>
    <x v="0"/>
    <s v="filter"/>
    <n v="2.4"/>
    <x v="1"/>
    <n v="3"/>
    <x v="2"/>
    <x v="1"/>
    <n v="404"/>
    <s v="Cafa"/>
    <x v="3"/>
    <x v="1"/>
    <x v="2"/>
  </r>
  <r>
    <n v="739"/>
    <n v="44511"/>
    <x v="3"/>
    <x v="1"/>
    <s v="Jaipur"/>
    <x v="3"/>
    <x v="4"/>
    <s v="30000-60000"/>
    <x v="2"/>
    <s v="instant"/>
    <n v="0.625"/>
    <x v="2"/>
    <n v="7"/>
    <x v="2"/>
    <x v="0"/>
    <n v="898"/>
    <s v="local store"/>
    <x v="2"/>
    <x v="2"/>
    <x v="2"/>
  </r>
  <r>
    <n v="740"/>
    <n v="46195"/>
    <x v="4"/>
    <x v="1"/>
    <s v="Kochi"/>
    <x v="8"/>
    <x v="0"/>
    <s v="30000-60000"/>
    <x v="0"/>
    <s v="filter"/>
    <n v="0.6"/>
    <x v="2"/>
    <n v="7"/>
    <x v="0"/>
    <x v="3"/>
    <n v="764"/>
    <s v="local store"/>
    <x v="2"/>
    <x v="0"/>
    <x v="2"/>
  </r>
  <r>
    <n v="741"/>
    <n v="75640"/>
    <x v="3"/>
    <x v="1"/>
    <s v="Ahmedabad"/>
    <x v="9"/>
    <x v="2"/>
    <s v="30000-60000"/>
    <x v="0"/>
    <s v="instant"/>
    <n v="2.4"/>
    <x v="2"/>
    <n v="7"/>
    <x v="1"/>
    <x v="0"/>
    <n v="414"/>
    <s v="local store"/>
    <x v="3"/>
    <x v="3"/>
    <x v="2"/>
  </r>
  <r>
    <n v="742"/>
    <n v="36772"/>
    <x v="0"/>
    <x v="1"/>
    <s v="Kochi"/>
    <x v="8"/>
    <x v="0"/>
    <s v="60000-100000"/>
    <x v="4"/>
    <s v="instant"/>
    <n v="1.1000000000000001"/>
    <x v="2"/>
    <n v="7"/>
    <x v="0"/>
    <x v="0"/>
    <n v="1412"/>
    <s v="supermarket"/>
    <x v="1"/>
    <x v="2"/>
    <x v="2"/>
  </r>
  <r>
    <n v="743"/>
    <n v="23741"/>
    <x v="1"/>
    <x v="1"/>
    <s v="Kolkata"/>
    <x v="5"/>
    <x v="7"/>
    <s v="15000-30000"/>
    <x v="2"/>
    <s v="cold brew"/>
    <n v="1.25"/>
    <x v="2"/>
    <n v="7"/>
    <x v="0"/>
    <x v="1"/>
    <n v="367"/>
    <s v="local store"/>
    <x v="1"/>
    <x v="2"/>
    <x v="1"/>
  </r>
  <r>
    <n v="744"/>
    <n v="94323"/>
    <x v="1"/>
    <x v="0"/>
    <s v="Kolkata"/>
    <x v="5"/>
    <x v="0"/>
    <s v="60000-100000"/>
    <x v="2"/>
    <s v="cold brew"/>
    <n v="0.625"/>
    <x v="2"/>
    <n v="7"/>
    <x v="1"/>
    <x v="0"/>
    <n v="1074"/>
    <s v="online"/>
    <x v="2"/>
    <x v="0"/>
    <x v="1"/>
  </r>
  <r>
    <n v="745"/>
    <n v="33710"/>
    <x v="1"/>
    <x v="0"/>
    <s v="Kochi"/>
    <x v="8"/>
    <x v="4"/>
    <s v="60000-100000"/>
    <x v="2"/>
    <s v="espresso"/>
    <n v="2.5"/>
    <x v="2"/>
    <n v="7"/>
    <x v="0"/>
    <x v="0"/>
    <n v="1053"/>
    <s v="Cafa"/>
    <x v="0"/>
    <x v="1"/>
    <x v="2"/>
  </r>
  <r>
    <n v="746"/>
    <n v="64486"/>
    <x v="1"/>
    <x v="0"/>
    <s v="Mysuru"/>
    <x v="0"/>
    <x v="9"/>
    <s v="&lt;15000"/>
    <x v="2"/>
    <s v="cold brew"/>
    <n v="1.25"/>
    <x v="2"/>
    <n v="7"/>
    <x v="2"/>
    <x v="0"/>
    <n v="261"/>
    <s v="local store"/>
    <x v="1"/>
    <x v="3"/>
    <x v="0"/>
  </r>
  <r>
    <n v="747"/>
    <n v="71748"/>
    <x v="0"/>
    <x v="0"/>
    <s v="Indore"/>
    <x v="10"/>
    <x v="3"/>
    <s v="&lt;15000"/>
    <x v="6"/>
    <s v="instant"/>
    <n v="0.55000000000000004"/>
    <x v="1"/>
    <n v="3"/>
    <x v="1"/>
    <x v="2"/>
    <n v="316"/>
    <s v="supermarket"/>
    <x v="2"/>
    <x v="3"/>
    <x v="0"/>
  </r>
  <r>
    <n v="748"/>
    <n v="54288"/>
    <x v="3"/>
    <x v="0"/>
    <s v="Chennai"/>
    <x v="6"/>
    <x v="9"/>
    <s v="&lt;15000"/>
    <x v="2"/>
    <s v="instant"/>
    <n v="1.25"/>
    <x v="2"/>
    <n v="7"/>
    <x v="2"/>
    <x v="0"/>
    <n v="314"/>
    <s v="local store"/>
    <x v="1"/>
    <x v="0"/>
    <x v="1"/>
  </r>
  <r>
    <n v="749"/>
    <n v="20439"/>
    <x v="2"/>
    <x v="1"/>
    <s v="Chennai"/>
    <x v="6"/>
    <x v="4"/>
    <s v="30000-60000"/>
    <x v="0"/>
    <s v="instant"/>
    <n v="1.2"/>
    <x v="0"/>
    <n v="1"/>
    <x v="1"/>
    <x v="1"/>
    <n v="512"/>
    <s v="Cafa"/>
    <x v="1"/>
    <x v="0"/>
    <x v="1"/>
  </r>
  <r>
    <n v="750"/>
    <n v="10428"/>
    <x v="2"/>
    <x v="0"/>
    <s v="Pune"/>
    <x v="4"/>
    <x v="9"/>
    <s v="60000-100000"/>
    <x v="2"/>
    <s v="instant"/>
    <n v="2.5"/>
    <x v="2"/>
    <n v="7"/>
    <x v="0"/>
    <x v="0"/>
    <n v="1320"/>
    <s v="online"/>
    <x v="3"/>
    <x v="3"/>
    <x v="2"/>
  </r>
  <r>
    <n v="751"/>
    <n v="98851"/>
    <x v="2"/>
    <x v="0"/>
    <s v="Vizag"/>
    <x v="7"/>
    <x v="7"/>
    <s v="30000-60000"/>
    <x v="2"/>
    <s v="ready-to-drink"/>
    <n v="2.5"/>
    <x v="2"/>
    <n v="7"/>
    <x v="2"/>
    <x v="1"/>
    <n v="823"/>
    <s v="Cafa"/>
    <x v="0"/>
    <x v="2"/>
    <x v="0"/>
  </r>
  <r>
    <n v="752"/>
    <n v="73683"/>
    <x v="0"/>
    <x v="0"/>
    <s v="Bengaluru"/>
    <x v="0"/>
    <x v="4"/>
    <s v="30000-60000"/>
    <x v="0"/>
    <s v="filter"/>
    <n v="0.6"/>
    <x v="2"/>
    <n v="7"/>
    <x v="2"/>
    <x v="3"/>
    <n v="427"/>
    <s v="local store"/>
    <x v="2"/>
    <x v="3"/>
    <x v="1"/>
  </r>
  <r>
    <n v="753"/>
    <n v="86301"/>
    <x v="2"/>
    <x v="0"/>
    <s v="Mysuru"/>
    <x v="0"/>
    <x v="2"/>
    <s v="30000-60000"/>
    <x v="2"/>
    <s v="cold brew"/>
    <n v="2.5"/>
    <x v="2"/>
    <n v="7"/>
    <x v="0"/>
    <x v="1"/>
    <n v="539"/>
    <s v="local store"/>
    <x v="3"/>
    <x v="2"/>
    <x v="0"/>
  </r>
  <r>
    <n v="754"/>
    <n v="51211"/>
    <x v="1"/>
    <x v="0"/>
    <s v="Bengaluru"/>
    <x v="0"/>
    <x v="7"/>
    <s v="30000-60000"/>
    <x v="1"/>
    <s v="instant"/>
    <n v="1"/>
    <x v="2"/>
    <n v="7"/>
    <x v="0"/>
    <x v="1"/>
    <n v="746"/>
    <s v="local store"/>
    <x v="1"/>
    <x v="1"/>
    <x v="1"/>
  </r>
  <r>
    <n v="755"/>
    <n v="61226"/>
    <x v="2"/>
    <x v="0"/>
    <s v="Mumbai"/>
    <x v="4"/>
    <x v="2"/>
    <s v="100000+"/>
    <x v="7"/>
    <s v="cold brew"/>
    <n v="1.5"/>
    <x v="2"/>
    <n v="7"/>
    <x v="0"/>
    <x v="0"/>
    <n v="1398"/>
    <s v="supermarket"/>
    <x v="3"/>
    <x v="2"/>
    <x v="1"/>
  </r>
  <r>
    <n v="756"/>
    <n v="97573"/>
    <x v="2"/>
    <x v="1"/>
    <s v="Bengaluru"/>
    <x v="0"/>
    <x v="0"/>
    <s v="60000-100000"/>
    <x v="3"/>
    <s v="instant"/>
    <n v="2.2000000000000002"/>
    <x v="0"/>
    <n v="1"/>
    <x v="0"/>
    <x v="1"/>
    <n v="1185"/>
    <s v="Cafa"/>
    <x v="3"/>
    <x v="0"/>
    <x v="1"/>
  </r>
  <r>
    <n v="757"/>
    <n v="92705"/>
    <x v="1"/>
    <x v="1"/>
    <s v="Kolkata"/>
    <x v="5"/>
    <x v="9"/>
    <s v="30000-60000"/>
    <x v="5"/>
    <s v="instant"/>
    <n v="2.2000000000000002"/>
    <x v="0"/>
    <n v="1"/>
    <x v="0"/>
    <x v="3"/>
    <n v="826"/>
    <s v="local store"/>
    <x v="0"/>
    <x v="1"/>
    <x v="1"/>
  </r>
  <r>
    <n v="758"/>
    <n v="61188"/>
    <x v="4"/>
    <x v="1"/>
    <s v="Kolkata"/>
    <x v="5"/>
    <x v="4"/>
    <s v="30000-60000"/>
    <x v="3"/>
    <s v="ready-to-drink"/>
    <n v="2.2000000000000002"/>
    <x v="2"/>
    <n v="7"/>
    <x v="1"/>
    <x v="1"/>
    <n v="572"/>
    <s v="Cafa"/>
    <x v="3"/>
    <x v="1"/>
    <x v="1"/>
  </r>
  <r>
    <n v="759"/>
    <n v="75225"/>
    <x v="2"/>
    <x v="1"/>
    <s v="Jaipur"/>
    <x v="3"/>
    <x v="0"/>
    <s v="&lt;15000"/>
    <x v="6"/>
    <s v="ready-to-drink"/>
    <n v="0.55000000000000004"/>
    <x v="0"/>
    <n v="1"/>
    <x v="0"/>
    <x v="5"/>
    <n v="335"/>
    <s v="local store"/>
    <x v="2"/>
    <x v="2"/>
    <x v="2"/>
  </r>
  <r>
    <n v="760"/>
    <n v="15860"/>
    <x v="2"/>
    <x v="0"/>
    <s v="Delhi"/>
    <x v="2"/>
    <x v="5"/>
    <s v="15000-30000"/>
    <x v="6"/>
    <s v="espresso"/>
    <n v="2.2000000000000002"/>
    <x v="2"/>
    <n v="7"/>
    <x v="1"/>
    <x v="2"/>
    <n v="265"/>
    <s v="Cafa"/>
    <x v="0"/>
    <x v="2"/>
    <x v="1"/>
  </r>
  <r>
    <n v="761"/>
    <n v="87503"/>
    <x v="2"/>
    <x v="0"/>
    <s v="Jaipur"/>
    <x v="3"/>
    <x v="8"/>
    <s v="&lt;15000"/>
    <x v="1"/>
    <s v="filter"/>
    <n v="2"/>
    <x v="2"/>
    <n v="7"/>
    <x v="2"/>
    <x v="1"/>
    <n v="248"/>
    <s v="online"/>
    <x v="3"/>
    <x v="0"/>
    <x v="2"/>
  </r>
  <r>
    <n v="762"/>
    <n v="54721"/>
    <x v="2"/>
    <x v="0"/>
    <s v="Vizag"/>
    <x v="7"/>
    <x v="0"/>
    <s v="&lt;15000"/>
    <x v="1"/>
    <s v="ready-to-drink"/>
    <n v="2"/>
    <x v="2"/>
    <n v="7"/>
    <x v="0"/>
    <x v="5"/>
    <n v="239"/>
    <s v="Cafa"/>
    <x v="3"/>
    <x v="1"/>
    <x v="0"/>
  </r>
  <r>
    <n v="763"/>
    <n v="53338"/>
    <x v="0"/>
    <x v="0"/>
    <s v="Jaipur"/>
    <x v="3"/>
    <x v="1"/>
    <s v="60000-100000"/>
    <x v="4"/>
    <s v="instant"/>
    <n v="0.55000000000000004"/>
    <x v="2"/>
    <n v="7"/>
    <x v="0"/>
    <x v="0"/>
    <n v="1116"/>
    <s v="Cafa"/>
    <x v="2"/>
    <x v="0"/>
    <x v="2"/>
  </r>
  <r>
    <n v="764"/>
    <n v="21293"/>
    <x v="0"/>
    <x v="0"/>
    <s v="Nagpur"/>
    <x v="4"/>
    <x v="0"/>
    <s v="30000-60000"/>
    <x v="2"/>
    <s v="instant"/>
    <n v="1.25"/>
    <x v="2"/>
    <n v="7"/>
    <x v="1"/>
    <x v="1"/>
    <n v="402"/>
    <s v="local store"/>
    <x v="1"/>
    <x v="0"/>
    <x v="2"/>
  </r>
  <r>
    <n v="765"/>
    <n v="23864"/>
    <x v="2"/>
    <x v="1"/>
    <s v="Pune"/>
    <x v="4"/>
    <x v="2"/>
    <s v="30000-60000"/>
    <x v="1"/>
    <s v="cold brew"/>
    <n v="2"/>
    <x v="2"/>
    <n v="7"/>
    <x v="1"/>
    <x v="0"/>
    <n v="750"/>
    <s v="online"/>
    <x v="0"/>
    <x v="2"/>
    <x v="2"/>
  </r>
  <r>
    <n v="766"/>
    <n v="73984"/>
    <x v="0"/>
    <x v="0"/>
    <s v="Kochi"/>
    <x v="8"/>
    <x v="0"/>
    <s v="100000+"/>
    <x v="0"/>
    <s v="filter"/>
    <n v="2.4"/>
    <x v="1"/>
    <n v="3"/>
    <x v="1"/>
    <x v="3"/>
    <n v="2155"/>
    <s v="local store"/>
    <x v="3"/>
    <x v="2"/>
    <x v="2"/>
  </r>
  <r>
    <n v="767"/>
    <n v="19984"/>
    <x v="3"/>
    <x v="0"/>
    <s v="Ahmedabad"/>
    <x v="9"/>
    <x v="7"/>
    <s v="30000-60000"/>
    <x v="5"/>
    <s v="instant"/>
    <n v="2.2000000000000002"/>
    <x v="2"/>
    <n v="7"/>
    <x v="0"/>
    <x v="1"/>
    <n v="530"/>
    <s v="local store"/>
    <x v="3"/>
    <x v="3"/>
    <x v="2"/>
  </r>
  <r>
    <n v="768"/>
    <n v="15685"/>
    <x v="3"/>
    <x v="0"/>
    <s v="Kochi"/>
    <x v="8"/>
    <x v="8"/>
    <s v="60000-100000"/>
    <x v="0"/>
    <s v="filter"/>
    <n v="1.2"/>
    <x v="2"/>
    <n v="7"/>
    <x v="1"/>
    <x v="2"/>
    <n v="884"/>
    <s v="Cafa"/>
    <x v="1"/>
    <x v="0"/>
    <x v="2"/>
  </r>
  <r>
    <n v="769"/>
    <n v="10290"/>
    <x v="1"/>
    <x v="0"/>
    <s v="Mysuru"/>
    <x v="0"/>
    <x v="4"/>
    <s v="15000-30000"/>
    <x v="2"/>
    <s v="cold brew"/>
    <n v="0.625"/>
    <x v="2"/>
    <n v="7"/>
    <x v="2"/>
    <x v="1"/>
    <n v="541"/>
    <s v="local store"/>
    <x v="2"/>
    <x v="2"/>
    <x v="0"/>
  </r>
  <r>
    <n v="770"/>
    <n v="91883"/>
    <x v="0"/>
    <x v="0"/>
    <s v="Hyderabad"/>
    <x v="1"/>
    <x v="1"/>
    <s v="&lt;15000"/>
    <x v="1"/>
    <s v="espresso"/>
    <n v="0.5"/>
    <x v="2"/>
    <n v="7"/>
    <x v="2"/>
    <x v="1"/>
    <n v="216"/>
    <s v="Cafa"/>
    <x v="2"/>
    <x v="1"/>
    <x v="1"/>
  </r>
  <r>
    <n v="771"/>
    <n v="89213"/>
    <x v="1"/>
    <x v="0"/>
    <s v="Ahmedabad"/>
    <x v="9"/>
    <x v="9"/>
    <s v="15000-30000"/>
    <x v="6"/>
    <s v="cold brew"/>
    <n v="0.55000000000000004"/>
    <x v="2"/>
    <n v="7"/>
    <x v="0"/>
    <x v="5"/>
    <n v="264"/>
    <s v="supermarket"/>
    <x v="2"/>
    <x v="2"/>
    <x v="2"/>
  </r>
  <r>
    <n v="772"/>
    <n v="65417"/>
    <x v="2"/>
    <x v="1"/>
    <s v="Pune"/>
    <x v="4"/>
    <x v="5"/>
    <s v="15000-30000"/>
    <x v="1"/>
    <s v="instant"/>
    <n v="2"/>
    <x v="2"/>
    <n v="7"/>
    <x v="0"/>
    <x v="3"/>
    <n v="439"/>
    <s v="supermarket"/>
    <x v="3"/>
    <x v="0"/>
    <x v="2"/>
  </r>
  <r>
    <n v="773"/>
    <n v="53573"/>
    <x v="0"/>
    <x v="1"/>
    <s v="Bengaluru"/>
    <x v="0"/>
    <x v="9"/>
    <s v="&lt;15000"/>
    <x v="5"/>
    <s v="filter"/>
    <n v="2.2000000000000002"/>
    <x v="2"/>
    <n v="7"/>
    <x v="1"/>
    <x v="2"/>
    <n v="382"/>
    <s v="local store"/>
    <x v="3"/>
    <x v="1"/>
    <x v="1"/>
  </r>
  <r>
    <n v="774"/>
    <n v="66004"/>
    <x v="2"/>
    <x v="0"/>
    <s v="Jaipur"/>
    <x v="3"/>
    <x v="8"/>
    <s v="&lt;15000"/>
    <x v="2"/>
    <s v="instant"/>
    <n v="2.5"/>
    <x v="2"/>
    <n v="7"/>
    <x v="0"/>
    <x v="1"/>
    <n v="292"/>
    <s v="Cafa"/>
    <x v="0"/>
    <x v="2"/>
    <x v="2"/>
  </r>
  <r>
    <n v="775"/>
    <n v="60304"/>
    <x v="1"/>
    <x v="1"/>
    <s v="Coimbatore"/>
    <x v="6"/>
    <x v="3"/>
    <s v="15000-30000"/>
    <x v="2"/>
    <s v="cold brew"/>
    <n v="0.625"/>
    <x v="1"/>
    <n v="3"/>
    <x v="1"/>
    <x v="5"/>
    <n v="344"/>
    <s v="local store"/>
    <x v="2"/>
    <x v="1"/>
    <x v="0"/>
  </r>
  <r>
    <n v="776"/>
    <n v="62327"/>
    <x v="0"/>
    <x v="1"/>
    <s v="Kolkata"/>
    <x v="5"/>
    <x v="3"/>
    <s v="15000-30000"/>
    <x v="7"/>
    <s v="filter"/>
    <n v="0.75"/>
    <x v="2"/>
    <n v="7"/>
    <x v="2"/>
    <x v="2"/>
    <n v="294"/>
    <s v="online"/>
    <x v="1"/>
    <x v="1"/>
    <x v="1"/>
  </r>
  <r>
    <n v="777"/>
    <n v="47888"/>
    <x v="1"/>
    <x v="0"/>
    <s v="Delhi"/>
    <x v="2"/>
    <x v="1"/>
    <s v="30000-60000"/>
    <x v="2"/>
    <s v="cold brew"/>
    <n v="2.5"/>
    <x v="2"/>
    <n v="7"/>
    <x v="0"/>
    <x v="1"/>
    <n v="405"/>
    <s v="online"/>
    <x v="0"/>
    <x v="1"/>
    <x v="1"/>
  </r>
  <r>
    <n v="778"/>
    <n v="83388"/>
    <x v="0"/>
    <x v="1"/>
    <s v="Ahmedabad"/>
    <x v="9"/>
    <x v="8"/>
    <s v="30000-60000"/>
    <x v="5"/>
    <s v="filter"/>
    <n v="2.2000000000000002"/>
    <x v="2"/>
    <n v="7"/>
    <x v="2"/>
    <x v="1"/>
    <n v="662"/>
    <s v="local store"/>
    <x v="0"/>
    <x v="1"/>
    <x v="2"/>
  </r>
  <r>
    <n v="779"/>
    <n v="24782"/>
    <x v="0"/>
    <x v="1"/>
    <s v="Delhi"/>
    <x v="2"/>
    <x v="3"/>
    <s v="15000-30000"/>
    <x v="6"/>
    <s v="filter"/>
    <n v="2.2000000000000002"/>
    <x v="1"/>
    <n v="3"/>
    <x v="0"/>
    <x v="3"/>
    <n v="415"/>
    <s v="online"/>
    <x v="0"/>
    <x v="0"/>
    <x v="1"/>
  </r>
  <r>
    <n v="780"/>
    <n v="50955"/>
    <x v="0"/>
    <x v="1"/>
    <s v="Kochi"/>
    <x v="8"/>
    <x v="0"/>
    <s v="30000-60000"/>
    <x v="4"/>
    <s v="instant"/>
    <n v="0.55000000000000004"/>
    <x v="1"/>
    <n v="3"/>
    <x v="0"/>
    <x v="0"/>
    <n v="412"/>
    <s v="Cafa"/>
    <x v="2"/>
    <x v="2"/>
    <x v="2"/>
  </r>
  <r>
    <n v="781"/>
    <n v="88864"/>
    <x v="0"/>
    <x v="1"/>
    <s v="Delhi"/>
    <x v="2"/>
    <x v="0"/>
    <s v="&lt;15000"/>
    <x v="7"/>
    <s v="instant"/>
    <n v="0.75"/>
    <x v="2"/>
    <n v="7"/>
    <x v="0"/>
    <x v="0"/>
    <n v="337"/>
    <s v="Cafa"/>
    <x v="1"/>
    <x v="2"/>
    <x v="1"/>
  </r>
  <r>
    <n v="782"/>
    <n v="17141"/>
    <x v="4"/>
    <x v="0"/>
    <s v="Ahmedabad"/>
    <x v="9"/>
    <x v="6"/>
    <s v="15000-30000"/>
    <x v="3"/>
    <s v="filter"/>
    <n v="0.55000000000000004"/>
    <x v="2"/>
    <n v="7"/>
    <x v="0"/>
    <x v="3"/>
    <n v="261"/>
    <s v="Cafa"/>
    <x v="2"/>
    <x v="3"/>
    <x v="2"/>
  </r>
  <r>
    <n v="783"/>
    <n v="78617"/>
    <x v="2"/>
    <x v="1"/>
    <s v="Delhi"/>
    <x v="2"/>
    <x v="1"/>
    <s v="30000-60000"/>
    <x v="1"/>
    <s v="filter"/>
    <n v="0.5"/>
    <x v="1"/>
    <n v="3"/>
    <x v="1"/>
    <x v="0"/>
    <n v="410"/>
    <s v="online"/>
    <x v="2"/>
    <x v="0"/>
    <x v="1"/>
  </r>
  <r>
    <n v="784"/>
    <n v="58431"/>
    <x v="2"/>
    <x v="0"/>
    <s v="Vizag"/>
    <x v="7"/>
    <x v="8"/>
    <s v="&lt;15000"/>
    <x v="5"/>
    <s v="espresso"/>
    <n v="1.1000000000000001"/>
    <x v="0"/>
    <n v="1"/>
    <x v="0"/>
    <x v="1"/>
    <n v="273"/>
    <s v="online"/>
    <x v="1"/>
    <x v="1"/>
    <x v="0"/>
  </r>
  <r>
    <n v="785"/>
    <n v="74275"/>
    <x v="3"/>
    <x v="1"/>
    <s v="Chennai"/>
    <x v="6"/>
    <x v="8"/>
    <s v="30000-60000"/>
    <x v="6"/>
    <s v="filter"/>
    <n v="1.1000000000000001"/>
    <x v="0"/>
    <n v="1"/>
    <x v="2"/>
    <x v="1"/>
    <n v="515"/>
    <s v="Cafa"/>
    <x v="1"/>
    <x v="3"/>
    <x v="1"/>
  </r>
  <r>
    <n v="786"/>
    <n v="35217"/>
    <x v="1"/>
    <x v="0"/>
    <s v="Pune"/>
    <x v="4"/>
    <x v="8"/>
    <s v="30000-60000"/>
    <x v="2"/>
    <s v="cold brew"/>
    <n v="0.625"/>
    <x v="2"/>
    <n v="7"/>
    <x v="1"/>
    <x v="1"/>
    <n v="674"/>
    <s v="Cafa"/>
    <x v="2"/>
    <x v="3"/>
    <x v="2"/>
  </r>
  <r>
    <n v="787"/>
    <n v="47847"/>
    <x v="0"/>
    <x v="0"/>
    <s v="Nagpur"/>
    <x v="4"/>
    <x v="0"/>
    <s v="100000+"/>
    <x v="6"/>
    <s v="ready-to-drink"/>
    <n v="1.1000000000000001"/>
    <x v="2"/>
    <n v="7"/>
    <x v="0"/>
    <x v="4"/>
    <n v="2842"/>
    <s v="Cafa"/>
    <x v="1"/>
    <x v="2"/>
    <x v="2"/>
  </r>
  <r>
    <n v="788"/>
    <n v="87714"/>
    <x v="1"/>
    <x v="0"/>
    <s v="Bengaluru"/>
    <x v="0"/>
    <x v="6"/>
    <s v="&lt;15000"/>
    <x v="4"/>
    <s v="instant"/>
    <n v="2.2000000000000002"/>
    <x v="0"/>
    <n v="1"/>
    <x v="2"/>
    <x v="5"/>
    <n v="368"/>
    <s v="supermarket"/>
    <x v="3"/>
    <x v="2"/>
    <x v="1"/>
  </r>
  <r>
    <n v="789"/>
    <n v="21968"/>
    <x v="0"/>
    <x v="0"/>
    <s v="Delhi"/>
    <x v="2"/>
    <x v="5"/>
    <s v="15000-30000"/>
    <x v="7"/>
    <s v="instant"/>
    <n v="1.5"/>
    <x v="2"/>
    <n v="7"/>
    <x v="2"/>
    <x v="2"/>
    <n v="569"/>
    <s v="local store"/>
    <x v="0"/>
    <x v="1"/>
    <x v="1"/>
  </r>
  <r>
    <n v="790"/>
    <n v="71529"/>
    <x v="1"/>
    <x v="1"/>
    <s v="Nagpur"/>
    <x v="4"/>
    <x v="2"/>
    <s v="&lt;15000"/>
    <x v="7"/>
    <s v="instant"/>
    <n v="1.5"/>
    <x v="2"/>
    <n v="7"/>
    <x v="1"/>
    <x v="2"/>
    <n v="246"/>
    <s v="Cafa"/>
    <x v="3"/>
    <x v="1"/>
    <x v="2"/>
  </r>
  <r>
    <n v="791"/>
    <n v="49022"/>
    <x v="0"/>
    <x v="1"/>
    <s v="Indore"/>
    <x v="10"/>
    <x v="6"/>
    <s v="&lt;15000"/>
    <x v="2"/>
    <s v="filter"/>
    <n v="2.5"/>
    <x v="2"/>
    <n v="7"/>
    <x v="0"/>
    <x v="1"/>
    <n v="192"/>
    <s v="online"/>
    <x v="0"/>
    <x v="1"/>
    <x v="0"/>
  </r>
  <r>
    <n v="792"/>
    <n v="21039"/>
    <x v="1"/>
    <x v="0"/>
    <s v="Jaipur"/>
    <x v="3"/>
    <x v="4"/>
    <s v="30000-60000"/>
    <x v="3"/>
    <s v="instant"/>
    <n v="0.55000000000000004"/>
    <x v="2"/>
    <n v="7"/>
    <x v="1"/>
    <x v="1"/>
    <n v="528"/>
    <s v="Cafa"/>
    <x v="2"/>
    <x v="1"/>
    <x v="2"/>
  </r>
  <r>
    <n v="793"/>
    <n v="70459"/>
    <x v="0"/>
    <x v="0"/>
    <s v="Mysuru"/>
    <x v="0"/>
    <x v="0"/>
    <s v="60000-100000"/>
    <x v="0"/>
    <s v="filter"/>
    <n v="1.2"/>
    <x v="2"/>
    <n v="7"/>
    <x v="1"/>
    <x v="1"/>
    <n v="1054"/>
    <s v="Cafa"/>
    <x v="1"/>
    <x v="2"/>
    <x v="0"/>
  </r>
  <r>
    <n v="794"/>
    <n v="14806"/>
    <x v="4"/>
    <x v="1"/>
    <s v="Vizag"/>
    <x v="7"/>
    <x v="7"/>
    <s v="15000-30000"/>
    <x v="7"/>
    <s v="instant"/>
    <n v="1.5"/>
    <x v="2"/>
    <n v="7"/>
    <x v="0"/>
    <x v="2"/>
    <n v="335"/>
    <s v="supermarket"/>
    <x v="3"/>
    <x v="3"/>
    <x v="0"/>
  </r>
  <r>
    <n v="795"/>
    <n v="30885"/>
    <x v="3"/>
    <x v="0"/>
    <s v="Vizag"/>
    <x v="7"/>
    <x v="2"/>
    <s v="30000-60000"/>
    <x v="1"/>
    <s v="instant"/>
    <n v="2"/>
    <x v="2"/>
    <n v="7"/>
    <x v="1"/>
    <x v="1"/>
    <n v="431"/>
    <s v="supermarket"/>
    <x v="0"/>
    <x v="3"/>
    <x v="0"/>
  </r>
  <r>
    <n v="796"/>
    <n v="57929"/>
    <x v="4"/>
    <x v="1"/>
    <s v="Nagpur"/>
    <x v="4"/>
    <x v="5"/>
    <s v="15000-30000"/>
    <x v="1"/>
    <s v="instant"/>
    <n v="2"/>
    <x v="2"/>
    <n v="7"/>
    <x v="0"/>
    <x v="1"/>
    <n v="519"/>
    <s v="online"/>
    <x v="3"/>
    <x v="1"/>
    <x v="2"/>
  </r>
  <r>
    <n v="797"/>
    <n v="31077"/>
    <x v="0"/>
    <x v="1"/>
    <s v="Pune"/>
    <x v="4"/>
    <x v="6"/>
    <s v="60000-100000"/>
    <x v="7"/>
    <s v="cold brew"/>
    <n v="1.5"/>
    <x v="0"/>
    <n v="1"/>
    <x v="0"/>
    <x v="1"/>
    <n v="1196"/>
    <s v="online"/>
    <x v="3"/>
    <x v="0"/>
    <x v="2"/>
  </r>
  <r>
    <n v="798"/>
    <n v="81913"/>
    <x v="4"/>
    <x v="0"/>
    <s v="Ahmedabad"/>
    <x v="9"/>
    <x v="3"/>
    <s v="&lt;15000"/>
    <x v="2"/>
    <s v="cold brew"/>
    <n v="2.5"/>
    <x v="1"/>
    <n v="3"/>
    <x v="0"/>
    <x v="5"/>
    <n v="229"/>
    <s v="local store"/>
    <x v="0"/>
    <x v="3"/>
    <x v="2"/>
  </r>
  <r>
    <n v="799"/>
    <n v="28728"/>
    <x v="0"/>
    <x v="0"/>
    <s v="Delhi"/>
    <x v="2"/>
    <x v="6"/>
    <s v="60000-100000"/>
    <x v="4"/>
    <s v="instant"/>
    <n v="2.2000000000000002"/>
    <x v="1"/>
    <n v="3"/>
    <x v="1"/>
    <x v="1"/>
    <n v="1179"/>
    <s v="local store"/>
    <x v="0"/>
    <x v="0"/>
    <x v="1"/>
  </r>
  <r>
    <n v="800"/>
    <n v="36642"/>
    <x v="2"/>
    <x v="1"/>
    <s v="Pune"/>
    <x v="4"/>
    <x v="3"/>
    <s v="30000-60000"/>
    <x v="7"/>
    <s v="instant"/>
    <n v="1.5"/>
    <x v="1"/>
    <n v="3"/>
    <x v="2"/>
    <x v="1"/>
    <n v="718"/>
    <s v="online"/>
    <x v="0"/>
    <x v="1"/>
    <x v="2"/>
  </r>
  <r>
    <n v="801"/>
    <n v="51505"/>
    <x v="2"/>
    <x v="0"/>
    <s v="Nagpur"/>
    <x v="4"/>
    <x v="9"/>
    <s v="&lt;15000"/>
    <x v="5"/>
    <s v="instant"/>
    <n v="0.55000000000000004"/>
    <x v="2"/>
    <n v="7"/>
    <x v="1"/>
    <x v="4"/>
    <n v="175"/>
    <s v="supermarket"/>
    <x v="2"/>
    <x v="3"/>
    <x v="2"/>
  </r>
  <r>
    <n v="802"/>
    <n v="48834"/>
    <x v="3"/>
    <x v="1"/>
    <s v="Ahmedabad"/>
    <x v="9"/>
    <x v="4"/>
    <s v="&lt;15000"/>
    <x v="7"/>
    <s v="cold brew"/>
    <n v="0.375"/>
    <x v="0"/>
    <n v="1"/>
    <x v="0"/>
    <x v="4"/>
    <n v="392"/>
    <s v="online"/>
    <x v="2"/>
    <x v="3"/>
    <x v="2"/>
  </r>
  <r>
    <n v="803"/>
    <n v="40752"/>
    <x v="1"/>
    <x v="1"/>
    <s v="Indore"/>
    <x v="10"/>
    <x v="2"/>
    <s v="60000-100000"/>
    <x v="7"/>
    <s v="instant"/>
    <n v="0.375"/>
    <x v="0"/>
    <n v="1"/>
    <x v="0"/>
    <x v="2"/>
    <n v="808"/>
    <s v="online"/>
    <x v="2"/>
    <x v="1"/>
    <x v="0"/>
  </r>
  <r>
    <n v="804"/>
    <n v="18108"/>
    <x v="1"/>
    <x v="1"/>
    <s v="Nagpur"/>
    <x v="4"/>
    <x v="4"/>
    <s v="30000-60000"/>
    <x v="4"/>
    <s v="ready-to-drink"/>
    <n v="2.2000000000000002"/>
    <x v="1"/>
    <n v="3"/>
    <x v="2"/>
    <x v="1"/>
    <n v="853"/>
    <s v="supermarket"/>
    <x v="3"/>
    <x v="3"/>
    <x v="2"/>
  </r>
  <r>
    <n v="805"/>
    <n v="45064"/>
    <x v="1"/>
    <x v="0"/>
    <s v="Hyderabad"/>
    <x v="1"/>
    <x v="5"/>
    <s v="&lt;15000"/>
    <x v="2"/>
    <s v="cold brew"/>
    <n v="2.5"/>
    <x v="2"/>
    <n v="7"/>
    <x v="0"/>
    <x v="5"/>
    <n v="265"/>
    <s v="local store"/>
    <x v="0"/>
    <x v="1"/>
    <x v="1"/>
  </r>
  <r>
    <n v="806"/>
    <n v="99959"/>
    <x v="1"/>
    <x v="0"/>
    <s v="Mysuru"/>
    <x v="0"/>
    <x v="1"/>
    <s v="60000-100000"/>
    <x v="3"/>
    <s v="ready-to-drink"/>
    <n v="2.2000000000000002"/>
    <x v="2"/>
    <n v="7"/>
    <x v="0"/>
    <x v="1"/>
    <n v="1035"/>
    <s v="supermarket"/>
    <x v="0"/>
    <x v="1"/>
    <x v="0"/>
  </r>
  <r>
    <n v="807"/>
    <n v="60384"/>
    <x v="2"/>
    <x v="0"/>
    <s v="Coimbatore"/>
    <x v="6"/>
    <x v="8"/>
    <s v="15000-30000"/>
    <x v="7"/>
    <s v="cold brew"/>
    <n v="1.5"/>
    <x v="0"/>
    <n v="1"/>
    <x v="0"/>
    <x v="1"/>
    <n v="597"/>
    <s v="local store"/>
    <x v="3"/>
    <x v="3"/>
    <x v="0"/>
  </r>
  <r>
    <n v="808"/>
    <n v="17873"/>
    <x v="4"/>
    <x v="0"/>
    <s v="Bengaluru"/>
    <x v="0"/>
    <x v="4"/>
    <s v="15000-30000"/>
    <x v="4"/>
    <s v="instant"/>
    <n v="2.2000000000000002"/>
    <x v="2"/>
    <n v="7"/>
    <x v="2"/>
    <x v="4"/>
    <n v="389"/>
    <s v="supermarket"/>
    <x v="0"/>
    <x v="2"/>
    <x v="1"/>
  </r>
  <r>
    <n v="809"/>
    <n v="60704"/>
    <x v="2"/>
    <x v="0"/>
    <s v="Chennai"/>
    <x v="6"/>
    <x v="7"/>
    <s v="30000-60000"/>
    <x v="3"/>
    <s v="instant"/>
    <n v="0.55000000000000004"/>
    <x v="0"/>
    <n v="1"/>
    <x v="2"/>
    <x v="3"/>
    <n v="545"/>
    <s v="online"/>
    <x v="2"/>
    <x v="2"/>
    <x v="1"/>
  </r>
  <r>
    <n v="810"/>
    <n v="12942"/>
    <x v="2"/>
    <x v="1"/>
    <s v="Chennai"/>
    <x v="6"/>
    <x v="0"/>
    <s v="30000-60000"/>
    <x v="3"/>
    <s v="filter"/>
    <n v="0.55000000000000004"/>
    <x v="2"/>
    <n v="7"/>
    <x v="1"/>
    <x v="4"/>
    <n v="811"/>
    <s v="local store"/>
    <x v="2"/>
    <x v="3"/>
    <x v="1"/>
  </r>
  <r>
    <n v="811"/>
    <n v="95929"/>
    <x v="0"/>
    <x v="0"/>
    <s v="Coimbatore"/>
    <x v="6"/>
    <x v="1"/>
    <s v="30000-60000"/>
    <x v="3"/>
    <s v="espresso"/>
    <n v="2.2000000000000002"/>
    <x v="0"/>
    <n v="1"/>
    <x v="0"/>
    <x v="5"/>
    <n v="576"/>
    <s v="Cafa"/>
    <x v="3"/>
    <x v="3"/>
    <x v="0"/>
  </r>
  <r>
    <n v="812"/>
    <n v="40549"/>
    <x v="2"/>
    <x v="0"/>
    <s v="Nagpur"/>
    <x v="4"/>
    <x v="6"/>
    <s v="30000-60000"/>
    <x v="5"/>
    <s v="instant"/>
    <n v="1.1000000000000001"/>
    <x v="2"/>
    <n v="7"/>
    <x v="0"/>
    <x v="5"/>
    <n v="820"/>
    <s v="Cafa"/>
    <x v="1"/>
    <x v="0"/>
    <x v="2"/>
  </r>
  <r>
    <n v="813"/>
    <n v="53122"/>
    <x v="2"/>
    <x v="1"/>
    <s v="Vizag"/>
    <x v="7"/>
    <x v="1"/>
    <s v="30000-60000"/>
    <x v="1"/>
    <s v="instant"/>
    <n v="2"/>
    <x v="2"/>
    <n v="7"/>
    <x v="1"/>
    <x v="4"/>
    <n v="886"/>
    <s v="online"/>
    <x v="0"/>
    <x v="3"/>
    <x v="0"/>
  </r>
  <r>
    <n v="814"/>
    <n v="51817"/>
    <x v="1"/>
    <x v="0"/>
    <s v="Delhi"/>
    <x v="2"/>
    <x v="4"/>
    <s v="15000-30000"/>
    <x v="3"/>
    <s v="cold brew"/>
    <n v="2.2000000000000002"/>
    <x v="2"/>
    <n v="7"/>
    <x v="0"/>
    <x v="0"/>
    <n v="428"/>
    <s v="local store"/>
    <x v="0"/>
    <x v="0"/>
    <x v="1"/>
  </r>
  <r>
    <n v="815"/>
    <n v="87249"/>
    <x v="2"/>
    <x v="0"/>
    <s v="Indore"/>
    <x v="10"/>
    <x v="6"/>
    <s v="100000+"/>
    <x v="5"/>
    <s v="ready-to-drink"/>
    <n v="0.55000000000000004"/>
    <x v="1"/>
    <n v="3"/>
    <x v="0"/>
    <x v="1"/>
    <n v="2078"/>
    <s v="local store"/>
    <x v="2"/>
    <x v="1"/>
    <x v="0"/>
  </r>
  <r>
    <n v="816"/>
    <n v="18840"/>
    <x v="2"/>
    <x v="1"/>
    <s v="Jaipur"/>
    <x v="3"/>
    <x v="6"/>
    <s v="30000-60000"/>
    <x v="5"/>
    <s v="instant"/>
    <n v="1.1000000000000001"/>
    <x v="0"/>
    <n v="1"/>
    <x v="1"/>
    <x v="1"/>
    <n v="644"/>
    <s v="online"/>
    <x v="1"/>
    <x v="2"/>
    <x v="2"/>
  </r>
  <r>
    <n v="817"/>
    <n v="59899"/>
    <x v="0"/>
    <x v="0"/>
    <s v="Delhi"/>
    <x v="2"/>
    <x v="7"/>
    <s v="60000-100000"/>
    <x v="2"/>
    <s v="instant"/>
    <n v="1.25"/>
    <x v="2"/>
    <n v="7"/>
    <x v="2"/>
    <x v="1"/>
    <n v="1326"/>
    <s v="Cafa"/>
    <x v="1"/>
    <x v="2"/>
    <x v="1"/>
  </r>
  <r>
    <n v="818"/>
    <n v="16829"/>
    <x v="2"/>
    <x v="0"/>
    <s v="Chennai"/>
    <x v="6"/>
    <x v="3"/>
    <s v="60000-100000"/>
    <x v="0"/>
    <s v="cold brew"/>
    <n v="0.6"/>
    <x v="2"/>
    <n v="7"/>
    <x v="2"/>
    <x v="4"/>
    <n v="894"/>
    <s v="online"/>
    <x v="2"/>
    <x v="2"/>
    <x v="1"/>
  </r>
  <r>
    <n v="819"/>
    <n v="72912"/>
    <x v="4"/>
    <x v="0"/>
    <s v="Bengaluru"/>
    <x v="0"/>
    <x v="3"/>
    <s v="30000-60000"/>
    <x v="0"/>
    <s v="instant"/>
    <n v="2.4"/>
    <x v="2"/>
    <n v="7"/>
    <x v="0"/>
    <x v="1"/>
    <n v="403"/>
    <s v="local store"/>
    <x v="0"/>
    <x v="2"/>
    <x v="1"/>
  </r>
  <r>
    <n v="820"/>
    <n v="89494"/>
    <x v="3"/>
    <x v="0"/>
    <s v="Coimbatore"/>
    <x v="6"/>
    <x v="3"/>
    <s v="30000-60000"/>
    <x v="0"/>
    <s v="filter"/>
    <n v="0.6"/>
    <x v="2"/>
    <n v="7"/>
    <x v="1"/>
    <x v="5"/>
    <n v="808"/>
    <s v="online"/>
    <x v="2"/>
    <x v="1"/>
    <x v="0"/>
  </r>
  <r>
    <n v="821"/>
    <n v="10275"/>
    <x v="2"/>
    <x v="0"/>
    <s v="Delhi"/>
    <x v="2"/>
    <x v="0"/>
    <s v="30000-60000"/>
    <x v="3"/>
    <s v="instant"/>
    <n v="1.1000000000000001"/>
    <x v="2"/>
    <n v="7"/>
    <x v="2"/>
    <x v="1"/>
    <n v="597"/>
    <s v="supermarket"/>
    <x v="1"/>
    <x v="3"/>
    <x v="1"/>
  </r>
  <r>
    <n v="822"/>
    <n v="37924"/>
    <x v="4"/>
    <x v="0"/>
    <s v="Kochi"/>
    <x v="8"/>
    <x v="1"/>
    <s v="30000-60000"/>
    <x v="2"/>
    <s v="instant"/>
    <n v="2.5"/>
    <x v="2"/>
    <n v="7"/>
    <x v="1"/>
    <x v="4"/>
    <n v="871"/>
    <s v="Cafa"/>
    <x v="3"/>
    <x v="0"/>
    <x v="2"/>
  </r>
  <r>
    <n v="823"/>
    <n v="61654"/>
    <x v="0"/>
    <x v="1"/>
    <s v="Chennai"/>
    <x v="6"/>
    <x v="3"/>
    <s v="30000-60000"/>
    <x v="6"/>
    <s v="instant"/>
    <n v="2.2000000000000002"/>
    <x v="2"/>
    <n v="7"/>
    <x v="2"/>
    <x v="5"/>
    <n v="850"/>
    <s v="Cafa"/>
    <x v="3"/>
    <x v="2"/>
    <x v="1"/>
  </r>
  <r>
    <n v="824"/>
    <n v="52822"/>
    <x v="4"/>
    <x v="0"/>
    <s v="Kochi"/>
    <x v="8"/>
    <x v="8"/>
    <s v="15000-30000"/>
    <x v="4"/>
    <s v="instant"/>
    <n v="0.55000000000000004"/>
    <x v="2"/>
    <n v="7"/>
    <x v="2"/>
    <x v="1"/>
    <n v="487"/>
    <s v="Cafa"/>
    <x v="2"/>
    <x v="1"/>
    <x v="2"/>
  </r>
  <r>
    <n v="825"/>
    <n v="90150"/>
    <x v="4"/>
    <x v="0"/>
    <s v="Chennai"/>
    <x v="6"/>
    <x v="2"/>
    <s v="60000-100000"/>
    <x v="0"/>
    <s v="filter"/>
    <n v="0.6"/>
    <x v="2"/>
    <n v="7"/>
    <x v="2"/>
    <x v="4"/>
    <n v="1096"/>
    <s v="supermarket"/>
    <x v="2"/>
    <x v="3"/>
    <x v="1"/>
  </r>
  <r>
    <n v="826"/>
    <n v="39413"/>
    <x v="2"/>
    <x v="1"/>
    <s v="Mumbai"/>
    <x v="4"/>
    <x v="4"/>
    <s v="&lt;15000"/>
    <x v="5"/>
    <s v="filter"/>
    <n v="2.2000000000000002"/>
    <x v="2"/>
    <n v="7"/>
    <x v="1"/>
    <x v="0"/>
    <n v="154"/>
    <s v="local store"/>
    <x v="0"/>
    <x v="0"/>
    <x v="1"/>
  </r>
  <r>
    <n v="827"/>
    <n v="27305"/>
    <x v="0"/>
    <x v="0"/>
    <s v="Bengaluru"/>
    <x v="0"/>
    <x v="8"/>
    <s v="30000-60000"/>
    <x v="0"/>
    <s v="filter"/>
    <n v="2.4"/>
    <x v="2"/>
    <n v="7"/>
    <x v="1"/>
    <x v="1"/>
    <n v="683"/>
    <s v="supermarket"/>
    <x v="3"/>
    <x v="0"/>
    <x v="1"/>
  </r>
  <r>
    <n v="828"/>
    <n v="17215"/>
    <x v="2"/>
    <x v="0"/>
    <s v="Mumbai"/>
    <x v="4"/>
    <x v="8"/>
    <s v="15000-30000"/>
    <x v="1"/>
    <s v="instant"/>
    <n v="1"/>
    <x v="1"/>
    <n v="3"/>
    <x v="0"/>
    <x v="2"/>
    <n v="592"/>
    <s v="supermarket"/>
    <x v="1"/>
    <x v="2"/>
    <x v="1"/>
  </r>
  <r>
    <n v="829"/>
    <n v="76196"/>
    <x v="2"/>
    <x v="1"/>
    <s v="Delhi"/>
    <x v="2"/>
    <x v="4"/>
    <s v="30000-60000"/>
    <x v="6"/>
    <s v="instant"/>
    <n v="2.2000000000000002"/>
    <x v="1"/>
    <n v="3"/>
    <x v="1"/>
    <x v="5"/>
    <n v="835"/>
    <s v="supermarket"/>
    <x v="0"/>
    <x v="3"/>
    <x v="1"/>
  </r>
  <r>
    <n v="830"/>
    <n v="69357"/>
    <x v="2"/>
    <x v="1"/>
    <s v="Hyderabad"/>
    <x v="1"/>
    <x v="0"/>
    <s v="15000-30000"/>
    <x v="6"/>
    <s v="cold brew"/>
    <n v="2.2000000000000002"/>
    <x v="2"/>
    <n v="7"/>
    <x v="0"/>
    <x v="5"/>
    <n v="341"/>
    <s v="Cafa"/>
    <x v="0"/>
    <x v="0"/>
    <x v="1"/>
  </r>
  <r>
    <n v="831"/>
    <n v="70445"/>
    <x v="2"/>
    <x v="0"/>
    <s v="Nagpur"/>
    <x v="4"/>
    <x v="5"/>
    <s v="30000-60000"/>
    <x v="6"/>
    <s v="instant"/>
    <n v="0.55000000000000004"/>
    <x v="2"/>
    <n v="7"/>
    <x v="1"/>
    <x v="1"/>
    <n v="743"/>
    <s v="supermarket"/>
    <x v="2"/>
    <x v="2"/>
    <x v="2"/>
  </r>
  <r>
    <n v="832"/>
    <n v="50341"/>
    <x v="2"/>
    <x v="0"/>
    <s v="Nagpur"/>
    <x v="4"/>
    <x v="1"/>
    <s v="30000-60000"/>
    <x v="6"/>
    <s v="instant"/>
    <n v="1.1000000000000001"/>
    <x v="2"/>
    <n v="7"/>
    <x v="2"/>
    <x v="1"/>
    <n v="441"/>
    <s v="local store"/>
    <x v="1"/>
    <x v="1"/>
    <x v="2"/>
  </r>
  <r>
    <n v="833"/>
    <n v="28253"/>
    <x v="4"/>
    <x v="1"/>
    <s v="Chennai"/>
    <x v="6"/>
    <x v="9"/>
    <s v="15000-30000"/>
    <x v="4"/>
    <s v="instant"/>
    <n v="2.2000000000000002"/>
    <x v="2"/>
    <n v="7"/>
    <x v="1"/>
    <x v="0"/>
    <n v="475"/>
    <s v="Cafa"/>
    <x v="3"/>
    <x v="1"/>
    <x v="1"/>
  </r>
  <r>
    <n v="834"/>
    <n v="75387"/>
    <x v="3"/>
    <x v="1"/>
    <s v="Jaipur"/>
    <x v="3"/>
    <x v="2"/>
    <s v="30000-60000"/>
    <x v="7"/>
    <s v="instant"/>
    <n v="0.75"/>
    <x v="2"/>
    <n v="7"/>
    <x v="0"/>
    <x v="1"/>
    <n v="491"/>
    <s v="Cafa"/>
    <x v="1"/>
    <x v="3"/>
    <x v="2"/>
  </r>
  <r>
    <n v="835"/>
    <n v="55811"/>
    <x v="2"/>
    <x v="1"/>
    <s v="Coimbatore"/>
    <x v="6"/>
    <x v="2"/>
    <s v="15000-30000"/>
    <x v="4"/>
    <s v="ready-to-drink"/>
    <n v="2.2000000000000002"/>
    <x v="2"/>
    <n v="7"/>
    <x v="2"/>
    <x v="1"/>
    <n v="408"/>
    <s v="local store"/>
    <x v="3"/>
    <x v="2"/>
    <x v="0"/>
  </r>
  <r>
    <n v="836"/>
    <n v="36940"/>
    <x v="0"/>
    <x v="0"/>
    <s v="Indore"/>
    <x v="10"/>
    <x v="5"/>
    <s v="30000-60000"/>
    <x v="6"/>
    <s v="instant"/>
    <n v="1.1000000000000001"/>
    <x v="1"/>
    <n v="3"/>
    <x v="0"/>
    <x v="0"/>
    <n v="479"/>
    <s v="Cafa"/>
    <x v="1"/>
    <x v="0"/>
    <x v="0"/>
  </r>
  <r>
    <n v="837"/>
    <n v="99151"/>
    <x v="2"/>
    <x v="1"/>
    <s v="Chennai"/>
    <x v="6"/>
    <x v="5"/>
    <s v="30000-60000"/>
    <x v="0"/>
    <s v="filter"/>
    <n v="2.4"/>
    <x v="2"/>
    <n v="7"/>
    <x v="0"/>
    <x v="1"/>
    <n v="838"/>
    <s v="online"/>
    <x v="3"/>
    <x v="0"/>
    <x v="1"/>
  </r>
  <r>
    <n v="838"/>
    <n v="38802"/>
    <x v="2"/>
    <x v="1"/>
    <s v="Mumbai"/>
    <x v="4"/>
    <x v="4"/>
    <s v="15000-30000"/>
    <x v="6"/>
    <s v="filter"/>
    <n v="2.2000000000000002"/>
    <x v="1"/>
    <n v="3"/>
    <x v="2"/>
    <x v="0"/>
    <n v="326"/>
    <s v="Cafa"/>
    <x v="0"/>
    <x v="3"/>
    <x v="1"/>
  </r>
  <r>
    <n v="839"/>
    <n v="79205"/>
    <x v="2"/>
    <x v="1"/>
    <s v="Kolkata"/>
    <x v="5"/>
    <x v="2"/>
    <s v="30000-60000"/>
    <x v="5"/>
    <s v="instant"/>
    <n v="2.2000000000000002"/>
    <x v="1"/>
    <n v="3"/>
    <x v="1"/>
    <x v="4"/>
    <n v="872"/>
    <s v="Cafa"/>
    <x v="0"/>
    <x v="2"/>
    <x v="1"/>
  </r>
  <r>
    <n v="840"/>
    <n v="61939"/>
    <x v="4"/>
    <x v="1"/>
    <s v="Chennai"/>
    <x v="6"/>
    <x v="4"/>
    <s v="60000-100000"/>
    <x v="6"/>
    <s v="instant"/>
    <n v="2.2000000000000002"/>
    <x v="2"/>
    <n v="7"/>
    <x v="0"/>
    <x v="2"/>
    <n v="1279"/>
    <s v="online"/>
    <x v="0"/>
    <x v="1"/>
    <x v="1"/>
  </r>
  <r>
    <n v="841"/>
    <n v="11219"/>
    <x v="2"/>
    <x v="1"/>
    <s v="Kochi"/>
    <x v="8"/>
    <x v="2"/>
    <s v="100000+"/>
    <x v="0"/>
    <s v="filter"/>
    <n v="2.4"/>
    <x v="1"/>
    <n v="3"/>
    <x v="0"/>
    <x v="1"/>
    <n v="2420"/>
    <s v="Cafa"/>
    <x v="0"/>
    <x v="3"/>
    <x v="2"/>
  </r>
  <r>
    <n v="842"/>
    <n v="68581"/>
    <x v="0"/>
    <x v="0"/>
    <s v="Ahmedabad"/>
    <x v="9"/>
    <x v="0"/>
    <s v="60000-100000"/>
    <x v="1"/>
    <s v="filter"/>
    <n v="2"/>
    <x v="0"/>
    <n v="1"/>
    <x v="0"/>
    <x v="0"/>
    <n v="1177"/>
    <s v="local store"/>
    <x v="0"/>
    <x v="1"/>
    <x v="2"/>
  </r>
  <r>
    <n v="843"/>
    <n v="86587"/>
    <x v="1"/>
    <x v="0"/>
    <s v="Vizag"/>
    <x v="7"/>
    <x v="5"/>
    <s v="100000+"/>
    <x v="2"/>
    <s v="cold brew"/>
    <n v="0.625"/>
    <x v="1"/>
    <n v="3"/>
    <x v="1"/>
    <x v="4"/>
    <n v="1309"/>
    <s v="local store"/>
    <x v="2"/>
    <x v="2"/>
    <x v="0"/>
  </r>
  <r>
    <n v="844"/>
    <n v="89126"/>
    <x v="0"/>
    <x v="0"/>
    <s v="Bengaluru"/>
    <x v="0"/>
    <x v="1"/>
    <s v="&lt;15000"/>
    <x v="1"/>
    <s v="espresso"/>
    <n v="1"/>
    <x v="1"/>
    <n v="3"/>
    <x v="1"/>
    <x v="1"/>
    <n v="344"/>
    <s v="supermarket"/>
    <x v="1"/>
    <x v="1"/>
    <x v="1"/>
  </r>
  <r>
    <n v="845"/>
    <n v="40025"/>
    <x v="0"/>
    <x v="0"/>
    <s v="Vizag"/>
    <x v="7"/>
    <x v="0"/>
    <s v="15000-30000"/>
    <x v="5"/>
    <s v="ready-to-drink"/>
    <n v="1.1000000000000001"/>
    <x v="2"/>
    <n v="7"/>
    <x v="0"/>
    <x v="3"/>
    <n v="553"/>
    <s v="online"/>
    <x v="1"/>
    <x v="2"/>
    <x v="0"/>
  </r>
  <r>
    <n v="846"/>
    <n v="11718"/>
    <x v="2"/>
    <x v="0"/>
    <s v="Pune"/>
    <x v="4"/>
    <x v="4"/>
    <s v="30000-60000"/>
    <x v="6"/>
    <s v="instant"/>
    <n v="2.2000000000000002"/>
    <x v="1"/>
    <n v="3"/>
    <x v="1"/>
    <x v="0"/>
    <n v="446"/>
    <s v="local store"/>
    <x v="3"/>
    <x v="2"/>
    <x v="2"/>
  </r>
  <r>
    <n v="847"/>
    <n v="94831"/>
    <x v="1"/>
    <x v="0"/>
    <s v="Chennai"/>
    <x v="6"/>
    <x v="2"/>
    <s v="30000-60000"/>
    <x v="6"/>
    <s v="ready-to-drink"/>
    <n v="2.2000000000000002"/>
    <x v="0"/>
    <n v="1"/>
    <x v="0"/>
    <x v="1"/>
    <n v="852"/>
    <s v="local store"/>
    <x v="3"/>
    <x v="2"/>
    <x v="1"/>
  </r>
  <r>
    <n v="848"/>
    <n v="21835"/>
    <x v="3"/>
    <x v="1"/>
    <s v="Jaipur"/>
    <x v="3"/>
    <x v="7"/>
    <s v="30000-60000"/>
    <x v="0"/>
    <s v="filter"/>
    <n v="2.4"/>
    <x v="2"/>
    <n v="7"/>
    <x v="1"/>
    <x v="3"/>
    <n v="496"/>
    <s v="online"/>
    <x v="0"/>
    <x v="3"/>
    <x v="2"/>
  </r>
  <r>
    <n v="849"/>
    <n v="10153"/>
    <x v="1"/>
    <x v="1"/>
    <s v="Nagpur"/>
    <x v="4"/>
    <x v="7"/>
    <s v="30000-60000"/>
    <x v="5"/>
    <s v="instant"/>
    <n v="1.1000000000000001"/>
    <x v="2"/>
    <n v="7"/>
    <x v="1"/>
    <x v="1"/>
    <n v="720"/>
    <s v="Cafa"/>
    <x v="1"/>
    <x v="0"/>
    <x v="2"/>
  </r>
  <r>
    <n v="850"/>
    <n v="39600"/>
    <x v="2"/>
    <x v="0"/>
    <s v="Vizag"/>
    <x v="7"/>
    <x v="8"/>
    <s v="15000-30000"/>
    <x v="7"/>
    <s v="instant"/>
    <n v="0.75"/>
    <x v="2"/>
    <n v="7"/>
    <x v="2"/>
    <x v="1"/>
    <n v="455"/>
    <s v="online"/>
    <x v="1"/>
    <x v="1"/>
    <x v="0"/>
  </r>
  <r>
    <n v="851"/>
    <n v="95559"/>
    <x v="4"/>
    <x v="0"/>
    <s v="Hyderabad"/>
    <x v="1"/>
    <x v="8"/>
    <s v="&lt;15000"/>
    <x v="7"/>
    <s v="instant"/>
    <n v="1.5"/>
    <x v="2"/>
    <n v="7"/>
    <x v="2"/>
    <x v="0"/>
    <n v="193"/>
    <s v="Cafa"/>
    <x v="3"/>
    <x v="1"/>
    <x v="1"/>
  </r>
  <r>
    <n v="852"/>
    <n v="17485"/>
    <x v="4"/>
    <x v="0"/>
    <s v="Nagpur"/>
    <x v="4"/>
    <x v="3"/>
    <s v="30000-60000"/>
    <x v="2"/>
    <s v="espresso"/>
    <n v="2.5"/>
    <x v="2"/>
    <n v="7"/>
    <x v="1"/>
    <x v="0"/>
    <n v="706"/>
    <s v="online"/>
    <x v="3"/>
    <x v="1"/>
    <x v="2"/>
  </r>
  <r>
    <n v="853"/>
    <n v="20522"/>
    <x v="1"/>
    <x v="1"/>
    <s v="Kolkata"/>
    <x v="5"/>
    <x v="3"/>
    <s v="15000-30000"/>
    <x v="2"/>
    <s v="instant"/>
    <n v="2.5"/>
    <x v="1"/>
    <n v="3"/>
    <x v="1"/>
    <x v="2"/>
    <n v="416"/>
    <s v="local store"/>
    <x v="3"/>
    <x v="2"/>
    <x v="1"/>
  </r>
  <r>
    <n v="854"/>
    <n v="77072"/>
    <x v="1"/>
    <x v="0"/>
    <s v="Kochi"/>
    <x v="8"/>
    <x v="7"/>
    <s v="15000-30000"/>
    <x v="0"/>
    <s v="filter"/>
    <n v="2.4"/>
    <x v="1"/>
    <n v="3"/>
    <x v="0"/>
    <x v="1"/>
    <n v="313"/>
    <s v="local store"/>
    <x v="0"/>
    <x v="2"/>
    <x v="2"/>
  </r>
  <r>
    <n v="855"/>
    <n v="39200"/>
    <x v="2"/>
    <x v="0"/>
    <s v="Ahmedabad"/>
    <x v="9"/>
    <x v="1"/>
    <s v="15000-30000"/>
    <x v="2"/>
    <s v="cold brew"/>
    <n v="1.25"/>
    <x v="2"/>
    <n v="7"/>
    <x v="0"/>
    <x v="1"/>
    <n v="594"/>
    <s v="supermarket"/>
    <x v="1"/>
    <x v="2"/>
    <x v="2"/>
  </r>
  <r>
    <n v="856"/>
    <n v="91705"/>
    <x v="2"/>
    <x v="0"/>
    <s v="Kolkata"/>
    <x v="5"/>
    <x v="7"/>
    <s v="60000-100000"/>
    <x v="6"/>
    <s v="instant"/>
    <n v="0.55000000000000004"/>
    <x v="2"/>
    <n v="7"/>
    <x v="1"/>
    <x v="0"/>
    <n v="1047"/>
    <s v="supermarket"/>
    <x v="2"/>
    <x v="3"/>
    <x v="1"/>
  </r>
  <r>
    <n v="857"/>
    <n v="24709"/>
    <x v="0"/>
    <x v="1"/>
    <s v="Mysuru"/>
    <x v="0"/>
    <x v="7"/>
    <s v="60000-100000"/>
    <x v="0"/>
    <s v="filter"/>
    <n v="0.6"/>
    <x v="1"/>
    <n v="3"/>
    <x v="0"/>
    <x v="1"/>
    <n v="1040"/>
    <s v="online"/>
    <x v="2"/>
    <x v="2"/>
    <x v="0"/>
  </r>
  <r>
    <n v="858"/>
    <n v="59553"/>
    <x v="1"/>
    <x v="1"/>
    <s v="Kolkata"/>
    <x v="5"/>
    <x v="5"/>
    <s v="60000-100000"/>
    <x v="0"/>
    <s v="instant"/>
    <n v="2.4"/>
    <x v="2"/>
    <n v="7"/>
    <x v="0"/>
    <x v="3"/>
    <n v="980"/>
    <s v="online"/>
    <x v="0"/>
    <x v="2"/>
    <x v="1"/>
  </r>
  <r>
    <n v="859"/>
    <n v="51784"/>
    <x v="2"/>
    <x v="0"/>
    <s v="Hyderabad"/>
    <x v="1"/>
    <x v="5"/>
    <s v="15000-30000"/>
    <x v="2"/>
    <s v="instant"/>
    <n v="0.625"/>
    <x v="2"/>
    <n v="7"/>
    <x v="0"/>
    <x v="1"/>
    <n v="582"/>
    <s v="supermarket"/>
    <x v="2"/>
    <x v="0"/>
    <x v="1"/>
  </r>
  <r>
    <n v="860"/>
    <n v="88987"/>
    <x v="3"/>
    <x v="0"/>
    <s v="Mumbai"/>
    <x v="4"/>
    <x v="9"/>
    <s v="30000-60000"/>
    <x v="6"/>
    <s v="instant"/>
    <n v="0.55000000000000004"/>
    <x v="2"/>
    <n v="7"/>
    <x v="1"/>
    <x v="4"/>
    <n v="474"/>
    <s v="local store"/>
    <x v="2"/>
    <x v="3"/>
    <x v="1"/>
  </r>
  <r>
    <n v="861"/>
    <n v="61115"/>
    <x v="3"/>
    <x v="1"/>
    <s v="Ahmedabad"/>
    <x v="9"/>
    <x v="4"/>
    <s v="30000-60000"/>
    <x v="1"/>
    <s v="instant"/>
    <n v="1"/>
    <x v="0"/>
    <n v="1"/>
    <x v="0"/>
    <x v="1"/>
    <n v="525"/>
    <s v="local store"/>
    <x v="1"/>
    <x v="0"/>
    <x v="2"/>
  </r>
  <r>
    <n v="862"/>
    <n v="36675"/>
    <x v="1"/>
    <x v="1"/>
    <s v="Kolkata"/>
    <x v="5"/>
    <x v="5"/>
    <s v="60000-100000"/>
    <x v="3"/>
    <s v="cold brew"/>
    <n v="1.1000000000000001"/>
    <x v="1"/>
    <n v="3"/>
    <x v="0"/>
    <x v="5"/>
    <n v="1234"/>
    <s v="online"/>
    <x v="1"/>
    <x v="3"/>
    <x v="1"/>
  </r>
  <r>
    <n v="863"/>
    <n v="30969"/>
    <x v="4"/>
    <x v="1"/>
    <s v="Coimbatore"/>
    <x v="6"/>
    <x v="2"/>
    <s v="100000+"/>
    <x v="0"/>
    <s v="filter"/>
    <n v="0.6"/>
    <x v="0"/>
    <n v="1"/>
    <x v="0"/>
    <x v="4"/>
    <n v="2687"/>
    <s v="supermarket"/>
    <x v="2"/>
    <x v="2"/>
    <x v="0"/>
  </r>
  <r>
    <n v="864"/>
    <n v="86151"/>
    <x v="0"/>
    <x v="0"/>
    <s v="Hyderabad"/>
    <x v="1"/>
    <x v="0"/>
    <s v="60000-100000"/>
    <x v="5"/>
    <s v="instant"/>
    <n v="0.55000000000000004"/>
    <x v="2"/>
    <n v="7"/>
    <x v="1"/>
    <x v="2"/>
    <n v="998"/>
    <s v="supermarket"/>
    <x v="2"/>
    <x v="1"/>
    <x v="1"/>
  </r>
  <r>
    <n v="865"/>
    <n v="90912"/>
    <x v="0"/>
    <x v="0"/>
    <s v="Kolkata"/>
    <x v="5"/>
    <x v="1"/>
    <s v="15000-30000"/>
    <x v="5"/>
    <s v="ready-to-drink"/>
    <n v="2.2000000000000002"/>
    <x v="2"/>
    <n v="7"/>
    <x v="0"/>
    <x v="3"/>
    <n v="379"/>
    <s v="online"/>
    <x v="0"/>
    <x v="0"/>
    <x v="1"/>
  </r>
  <r>
    <n v="866"/>
    <n v="73464"/>
    <x v="2"/>
    <x v="1"/>
    <s v="Kolkata"/>
    <x v="5"/>
    <x v="2"/>
    <s v="15000-30000"/>
    <x v="3"/>
    <s v="espresso"/>
    <n v="0.55000000000000004"/>
    <x v="1"/>
    <n v="3"/>
    <x v="1"/>
    <x v="4"/>
    <n v="421"/>
    <s v="Cafa"/>
    <x v="2"/>
    <x v="3"/>
    <x v="1"/>
  </r>
  <r>
    <n v="867"/>
    <n v="52390"/>
    <x v="0"/>
    <x v="0"/>
    <s v="Nagpur"/>
    <x v="4"/>
    <x v="1"/>
    <s v="15000-30000"/>
    <x v="3"/>
    <s v="instant"/>
    <n v="2.2000000000000002"/>
    <x v="2"/>
    <n v="7"/>
    <x v="0"/>
    <x v="0"/>
    <n v="555"/>
    <s v="supermarket"/>
    <x v="3"/>
    <x v="3"/>
    <x v="2"/>
  </r>
  <r>
    <n v="868"/>
    <n v="49344"/>
    <x v="4"/>
    <x v="0"/>
    <s v="Bengaluru"/>
    <x v="0"/>
    <x v="4"/>
    <s v="60000-100000"/>
    <x v="0"/>
    <s v="ready-to-drink"/>
    <n v="2.4"/>
    <x v="2"/>
    <n v="7"/>
    <x v="2"/>
    <x v="2"/>
    <n v="877"/>
    <s v="supermarket"/>
    <x v="3"/>
    <x v="2"/>
    <x v="1"/>
  </r>
  <r>
    <n v="869"/>
    <n v="57388"/>
    <x v="3"/>
    <x v="0"/>
    <s v="Pune"/>
    <x v="4"/>
    <x v="7"/>
    <s v="30000-60000"/>
    <x v="5"/>
    <s v="filter"/>
    <n v="0.55000000000000004"/>
    <x v="2"/>
    <n v="7"/>
    <x v="0"/>
    <x v="5"/>
    <n v="639"/>
    <s v="supermarket"/>
    <x v="2"/>
    <x v="0"/>
    <x v="2"/>
  </r>
  <r>
    <n v="870"/>
    <n v="85385"/>
    <x v="2"/>
    <x v="0"/>
    <s v="Mysuru"/>
    <x v="0"/>
    <x v="6"/>
    <s v="60000-100000"/>
    <x v="5"/>
    <s v="instant"/>
    <n v="0.55000000000000004"/>
    <x v="2"/>
    <n v="7"/>
    <x v="1"/>
    <x v="0"/>
    <n v="1139"/>
    <s v="online"/>
    <x v="2"/>
    <x v="2"/>
    <x v="0"/>
  </r>
  <r>
    <n v="871"/>
    <n v="22751"/>
    <x v="1"/>
    <x v="0"/>
    <s v="Indore"/>
    <x v="10"/>
    <x v="2"/>
    <s v="15000-30000"/>
    <x v="2"/>
    <s v="ready-to-drink"/>
    <n v="2.5"/>
    <x v="2"/>
    <n v="7"/>
    <x v="1"/>
    <x v="1"/>
    <n v="401"/>
    <s v="local store"/>
    <x v="0"/>
    <x v="3"/>
    <x v="0"/>
  </r>
  <r>
    <n v="872"/>
    <n v="66350"/>
    <x v="2"/>
    <x v="0"/>
    <s v="Kolkata"/>
    <x v="5"/>
    <x v="1"/>
    <s v="30000-60000"/>
    <x v="4"/>
    <s v="instant"/>
    <n v="1.1000000000000001"/>
    <x v="0"/>
    <n v="1"/>
    <x v="0"/>
    <x v="1"/>
    <n v="441"/>
    <s v="Cafa"/>
    <x v="1"/>
    <x v="3"/>
    <x v="1"/>
  </r>
  <r>
    <n v="873"/>
    <n v="20697"/>
    <x v="1"/>
    <x v="1"/>
    <s v="Jaipur"/>
    <x v="3"/>
    <x v="8"/>
    <s v="30000-60000"/>
    <x v="6"/>
    <s v="espresso"/>
    <n v="2.2000000000000002"/>
    <x v="0"/>
    <n v="1"/>
    <x v="0"/>
    <x v="0"/>
    <n v="652"/>
    <s v="local store"/>
    <x v="3"/>
    <x v="3"/>
    <x v="2"/>
  </r>
  <r>
    <n v="874"/>
    <n v="44336"/>
    <x v="1"/>
    <x v="0"/>
    <s v="Kochi"/>
    <x v="8"/>
    <x v="2"/>
    <s v="60000-100000"/>
    <x v="2"/>
    <s v="filter"/>
    <n v="2.5"/>
    <x v="2"/>
    <n v="7"/>
    <x v="0"/>
    <x v="1"/>
    <n v="1241"/>
    <s v="online"/>
    <x v="3"/>
    <x v="3"/>
    <x v="2"/>
  </r>
  <r>
    <n v="875"/>
    <n v="19039"/>
    <x v="2"/>
    <x v="0"/>
    <s v="Kochi"/>
    <x v="8"/>
    <x v="2"/>
    <s v="100000+"/>
    <x v="5"/>
    <s v="ready-to-drink"/>
    <n v="2.2000000000000002"/>
    <x v="2"/>
    <n v="7"/>
    <x v="2"/>
    <x v="1"/>
    <n v="2636"/>
    <s v="online"/>
    <x v="0"/>
    <x v="3"/>
    <x v="2"/>
  </r>
  <r>
    <n v="876"/>
    <n v="40291"/>
    <x v="2"/>
    <x v="1"/>
    <s v="Hyderabad"/>
    <x v="1"/>
    <x v="8"/>
    <s v="15000-30000"/>
    <x v="7"/>
    <s v="instant"/>
    <n v="1.5"/>
    <x v="0"/>
    <n v="1"/>
    <x v="2"/>
    <x v="1"/>
    <n v="436"/>
    <s v="online"/>
    <x v="0"/>
    <x v="0"/>
    <x v="1"/>
  </r>
  <r>
    <n v="877"/>
    <n v="59665"/>
    <x v="0"/>
    <x v="0"/>
    <s v="Kolkata"/>
    <x v="5"/>
    <x v="1"/>
    <s v="15000-30000"/>
    <x v="7"/>
    <s v="ready-to-drink"/>
    <n v="1.5"/>
    <x v="2"/>
    <n v="7"/>
    <x v="0"/>
    <x v="1"/>
    <n v="327"/>
    <s v="local store"/>
    <x v="3"/>
    <x v="3"/>
    <x v="1"/>
  </r>
  <r>
    <n v="878"/>
    <n v="81613"/>
    <x v="3"/>
    <x v="1"/>
    <s v="Pune"/>
    <x v="4"/>
    <x v="7"/>
    <s v="100000+"/>
    <x v="7"/>
    <s v="instant"/>
    <n v="1.5"/>
    <x v="0"/>
    <n v="1"/>
    <x v="1"/>
    <x v="1"/>
    <n v="1807"/>
    <s v="supermarket"/>
    <x v="3"/>
    <x v="1"/>
    <x v="2"/>
  </r>
  <r>
    <n v="879"/>
    <n v="97656"/>
    <x v="3"/>
    <x v="1"/>
    <s v="Pune"/>
    <x v="4"/>
    <x v="7"/>
    <s v="15000-30000"/>
    <x v="0"/>
    <s v="instant"/>
    <n v="2.4"/>
    <x v="2"/>
    <n v="7"/>
    <x v="0"/>
    <x v="0"/>
    <n v="538"/>
    <s v="supermarket"/>
    <x v="3"/>
    <x v="3"/>
    <x v="2"/>
  </r>
  <r>
    <n v="880"/>
    <n v="84781"/>
    <x v="1"/>
    <x v="0"/>
    <s v="Delhi"/>
    <x v="2"/>
    <x v="8"/>
    <s v="15000-30000"/>
    <x v="1"/>
    <s v="instant"/>
    <n v="0.5"/>
    <x v="2"/>
    <n v="7"/>
    <x v="0"/>
    <x v="4"/>
    <n v="369"/>
    <s v="supermarket"/>
    <x v="2"/>
    <x v="1"/>
    <x v="1"/>
  </r>
  <r>
    <n v="881"/>
    <n v="79909"/>
    <x v="2"/>
    <x v="0"/>
    <s v="Mysuru"/>
    <x v="0"/>
    <x v="1"/>
    <s v="30000-60000"/>
    <x v="0"/>
    <s v="filter"/>
    <n v="2.4"/>
    <x v="0"/>
    <n v="1"/>
    <x v="0"/>
    <x v="0"/>
    <n v="553"/>
    <s v="supermarket"/>
    <x v="3"/>
    <x v="3"/>
    <x v="0"/>
  </r>
  <r>
    <n v="882"/>
    <n v="53680"/>
    <x v="3"/>
    <x v="0"/>
    <s v="Coimbatore"/>
    <x v="6"/>
    <x v="3"/>
    <s v="15000-30000"/>
    <x v="4"/>
    <s v="instant"/>
    <n v="2.2000000000000002"/>
    <x v="1"/>
    <n v="3"/>
    <x v="1"/>
    <x v="0"/>
    <n v="491"/>
    <s v="local store"/>
    <x v="0"/>
    <x v="0"/>
    <x v="0"/>
  </r>
  <r>
    <n v="883"/>
    <n v="32491"/>
    <x v="2"/>
    <x v="0"/>
    <s v="Vizag"/>
    <x v="7"/>
    <x v="4"/>
    <s v="60000-100000"/>
    <x v="2"/>
    <s v="filter"/>
    <n v="0.625"/>
    <x v="2"/>
    <n v="7"/>
    <x v="1"/>
    <x v="0"/>
    <n v="1213"/>
    <s v="supermarket"/>
    <x v="2"/>
    <x v="0"/>
    <x v="0"/>
  </r>
  <r>
    <n v="884"/>
    <n v="65739"/>
    <x v="2"/>
    <x v="1"/>
    <s v="Pune"/>
    <x v="4"/>
    <x v="4"/>
    <s v="30000-60000"/>
    <x v="4"/>
    <s v="filter"/>
    <n v="0.55000000000000004"/>
    <x v="2"/>
    <n v="7"/>
    <x v="1"/>
    <x v="0"/>
    <n v="865"/>
    <s v="local store"/>
    <x v="2"/>
    <x v="3"/>
    <x v="2"/>
  </r>
  <r>
    <n v="885"/>
    <n v="95584"/>
    <x v="1"/>
    <x v="1"/>
    <s v="Indore"/>
    <x v="10"/>
    <x v="2"/>
    <s v="15000-30000"/>
    <x v="7"/>
    <s v="instant"/>
    <n v="0.75"/>
    <x v="2"/>
    <n v="7"/>
    <x v="1"/>
    <x v="0"/>
    <n v="335"/>
    <s v="local store"/>
    <x v="1"/>
    <x v="3"/>
    <x v="0"/>
  </r>
  <r>
    <n v="886"/>
    <n v="52833"/>
    <x v="1"/>
    <x v="1"/>
    <s v="Chennai"/>
    <x v="6"/>
    <x v="4"/>
    <s v="60000-100000"/>
    <x v="7"/>
    <s v="filter"/>
    <n v="1.5"/>
    <x v="2"/>
    <n v="7"/>
    <x v="0"/>
    <x v="1"/>
    <n v="1105"/>
    <s v="Cafa"/>
    <x v="3"/>
    <x v="1"/>
    <x v="1"/>
  </r>
  <r>
    <n v="887"/>
    <n v="44119"/>
    <x v="1"/>
    <x v="1"/>
    <s v="Nagpur"/>
    <x v="4"/>
    <x v="9"/>
    <s v="30000-60000"/>
    <x v="7"/>
    <s v="instant"/>
    <n v="0.375"/>
    <x v="2"/>
    <n v="7"/>
    <x v="2"/>
    <x v="0"/>
    <n v="844"/>
    <s v="online"/>
    <x v="2"/>
    <x v="1"/>
    <x v="2"/>
  </r>
  <r>
    <n v="888"/>
    <n v="94825"/>
    <x v="2"/>
    <x v="1"/>
    <s v="Vizag"/>
    <x v="7"/>
    <x v="3"/>
    <s v="60000-100000"/>
    <x v="1"/>
    <s v="ready-to-drink"/>
    <n v="1"/>
    <x v="2"/>
    <n v="7"/>
    <x v="2"/>
    <x v="1"/>
    <n v="1098"/>
    <s v="supermarket"/>
    <x v="1"/>
    <x v="0"/>
    <x v="0"/>
  </r>
  <r>
    <n v="889"/>
    <n v="11186"/>
    <x v="4"/>
    <x v="1"/>
    <s v="Coimbatore"/>
    <x v="6"/>
    <x v="1"/>
    <s v="30000-60000"/>
    <x v="5"/>
    <s v="instant"/>
    <n v="2.2000000000000002"/>
    <x v="0"/>
    <n v="1"/>
    <x v="0"/>
    <x v="1"/>
    <n v="498"/>
    <s v="online"/>
    <x v="0"/>
    <x v="2"/>
    <x v="0"/>
  </r>
  <r>
    <n v="890"/>
    <n v="18844"/>
    <x v="0"/>
    <x v="1"/>
    <s v="Chennai"/>
    <x v="6"/>
    <x v="5"/>
    <s v="15000-30000"/>
    <x v="0"/>
    <s v="filter"/>
    <n v="0.6"/>
    <x v="2"/>
    <n v="7"/>
    <x v="0"/>
    <x v="1"/>
    <n v="290"/>
    <s v="local store"/>
    <x v="2"/>
    <x v="0"/>
    <x v="1"/>
  </r>
  <r>
    <n v="891"/>
    <n v="57663"/>
    <x v="2"/>
    <x v="0"/>
    <s v="Chennai"/>
    <x v="6"/>
    <x v="7"/>
    <s v="15000-30000"/>
    <x v="0"/>
    <s v="filter"/>
    <n v="2.4"/>
    <x v="2"/>
    <n v="7"/>
    <x v="0"/>
    <x v="5"/>
    <n v="309"/>
    <s v="Cafa"/>
    <x v="3"/>
    <x v="1"/>
    <x v="1"/>
  </r>
  <r>
    <n v="892"/>
    <n v="91845"/>
    <x v="1"/>
    <x v="1"/>
    <s v="Pune"/>
    <x v="4"/>
    <x v="6"/>
    <s v="30000-60000"/>
    <x v="1"/>
    <s v="ready-to-drink"/>
    <n v="2"/>
    <x v="2"/>
    <n v="7"/>
    <x v="0"/>
    <x v="2"/>
    <n v="680"/>
    <s v="supermarket"/>
    <x v="0"/>
    <x v="0"/>
    <x v="2"/>
  </r>
  <r>
    <n v="893"/>
    <n v="77825"/>
    <x v="2"/>
    <x v="0"/>
    <s v="Coimbatore"/>
    <x v="6"/>
    <x v="2"/>
    <s v="100000+"/>
    <x v="0"/>
    <s v="instant"/>
    <n v="2.4"/>
    <x v="2"/>
    <n v="7"/>
    <x v="0"/>
    <x v="2"/>
    <n v="1228"/>
    <s v="local store"/>
    <x v="3"/>
    <x v="0"/>
    <x v="0"/>
  </r>
  <r>
    <n v="894"/>
    <n v="28403"/>
    <x v="1"/>
    <x v="1"/>
    <s v="Ahmedabad"/>
    <x v="9"/>
    <x v="0"/>
    <s v="15000-30000"/>
    <x v="2"/>
    <s v="cold brew"/>
    <n v="1.25"/>
    <x v="2"/>
    <n v="7"/>
    <x v="1"/>
    <x v="1"/>
    <n v="468"/>
    <s v="supermarket"/>
    <x v="1"/>
    <x v="3"/>
    <x v="2"/>
  </r>
  <r>
    <n v="895"/>
    <n v="45852"/>
    <x v="0"/>
    <x v="1"/>
    <s v="Chennai"/>
    <x v="6"/>
    <x v="6"/>
    <s v="30000-60000"/>
    <x v="0"/>
    <s v="filter"/>
    <n v="2.4"/>
    <x v="2"/>
    <n v="7"/>
    <x v="1"/>
    <x v="1"/>
    <n v="473"/>
    <s v="local store"/>
    <x v="3"/>
    <x v="2"/>
    <x v="1"/>
  </r>
  <r>
    <n v="896"/>
    <n v="28460"/>
    <x v="2"/>
    <x v="1"/>
    <s v="Nagpur"/>
    <x v="4"/>
    <x v="6"/>
    <s v="100000+"/>
    <x v="6"/>
    <s v="instant"/>
    <n v="2.2000000000000002"/>
    <x v="2"/>
    <n v="7"/>
    <x v="0"/>
    <x v="1"/>
    <n v="1691"/>
    <s v="local store"/>
    <x v="3"/>
    <x v="1"/>
    <x v="2"/>
  </r>
  <r>
    <n v="897"/>
    <n v="80160"/>
    <x v="4"/>
    <x v="0"/>
    <s v="Delhi"/>
    <x v="2"/>
    <x v="4"/>
    <s v="&lt;15000"/>
    <x v="3"/>
    <s v="instant"/>
    <n v="2.2000000000000002"/>
    <x v="2"/>
    <n v="7"/>
    <x v="1"/>
    <x v="0"/>
    <n v="226"/>
    <s v="Cafa"/>
    <x v="3"/>
    <x v="1"/>
    <x v="1"/>
  </r>
  <r>
    <n v="898"/>
    <n v="16858"/>
    <x v="4"/>
    <x v="0"/>
    <s v="Nagpur"/>
    <x v="4"/>
    <x v="8"/>
    <s v="30000-60000"/>
    <x v="6"/>
    <s v="instant"/>
    <n v="1.1000000000000001"/>
    <x v="1"/>
    <n v="3"/>
    <x v="1"/>
    <x v="0"/>
    <n v="736"/>
    <s v="supermarket"/>
    <x v="1"/>
    <x v="2"/>
    <x v="2"/>
  </r>
  <r>
    <n v="899"/>
    <n v="32809"/>
    <x v="0"/>
    <x v="1"/>
    <s v="Coimbatore"/>
    <x v="6"/>
    <x v="1"/>
    <s v="100000+"/>
    <x v="4"/>
    <s v="ready-to-drink"/>
    <n v="1.1000000000000001"/>
    <x v="0"/>
    <n v="1"/>
    <x v="0"/>
    <x v="5"/>
    <n v="2483"/>
    <s v="supermarket"/>
    <x v="1"/>
    <x v="3"/>
    <x v="0"/>
  </r>
  <r>
    <n v="900"/>
    <n v="22573"/>
    <x v="2"/>
    <x v="0"/>
    <s v="Nagpur"/>
    <x v="4"/>
    <x v="7"/>
    <s v="30000-60000"/>
    <x v="7"/>
    <s v="filter"/>
    <n v="0.75"/>
    <x v="2"/>
    <n v="7"/>
    <x v="0"/>
    <x v="1"/>
    <n v="834"/>
    <s v="online"/>
    <x v="1"/>
    <x v="1"/>
    <x v="2"/>
  </r>
  <r>
    <n v="901"/>
    <n v="57927"/>
    <x v="2"/>
    <x v="1"/>
    <s v="Coimbatore"/>
    <x v="6"/>
    <x v="5"/>
    <s v="30000-60000"/>
    <x v="7"/>
    <s v="cold brew"/>
    <n v="0.375"/>
    <x v="2"/>
    <n v="7"/>
    <x v="0"/>
    <x v="0"/>
    <n v="537"/>
    <s v="online"/>
    <x v="2"/>
    <x v="0"/>
    <x v="0"/>
  </r>
  <r>
    <n v="902"/>
    <n v="19225"/>
    <x v="3"/>
    <x v="1"/>
    <s v="Mumbai"/>
    <x v="4"/>
    <x v="0"/>
    <s v="100000+"/>
    <x v="4"/>
    <s v="filter"/>
    <n v="2.2000000000000002"/>
    <x v="2"/>
    <n v="7"/>
    <x v="0"/>
    <x v="5"/>
    <n v="2053"/>
    <s v="online"/>
    <x v="0"/>
    <x v="2"/>
    <x v="1"/>
  </r>
  <r>
    <n v="903"/>
    <n v="12990"/>
    <x v="2"/>
    <x v="0"/>
    <s v="Mysuru"/>
    <x v="0"/>
    <x v="3"/>
    <s v="15000-30000"/>
    <x v="0"/>
    <s v="filter"/>
    <n v="2.4"/>
    <x v="2"/>
    <n v="7"/>
    <x v="1"/>
    <x v="0"/>
    <n v="345"/>
    <s v="local store"/>
    <x v="3"/>
    <x v="0"/>
    <x v="0"/>
  </r>
  <r>
    <n v="904"/>
    <n v="19265"/>
    <x v="2"/>
    <x v="0"/>
    <s v="Ahmedabad"/>
    <x v="9"/>
    <x v="2"/>
    <s v="15000-30000"/>
    <x v="3"/>
    <s v="filter"/>
    <n v="0.55000000000000004"/>
    <x v="1"/>
    <n v="3"/>
    <x v="0"/>
    <x v="4"/>
    <n v="569"/>
    <s v="online"/>
    <x v="2"/>
    <x v="2"/>
    <x v="2"/>
  </r>
  <r>
    <n v="905"/>
    <n v="95924"/>
    <x v="0"/>
    <x v="0"/>
    <s v="Nagpur"/>
    <x v="4"/>
    <x v="1"/>
    <s v="30000-60000"/>
    <x v="4"/>
    <s v="cold brew"/>
    <n v="2.2000000000000002"/>
    <x v="2"/>
    <n v="7"/>
    <x v="0"/>
    <x v="0"/>
    <n v="725"/>
    <s v="local store"/>
    <x v="0"/>
    <x v="1"/>
    <x v="2"/>
  </r>
  <r>
    <n v="906"/>
    <n v="18914"/>
    <x v="3"/>
    <x v="0"/>
    <s v="Nagpur"/>
    <x v="4"/>
    <x v="0"/>
    <s v="30000-60000"/>
    <x v="6"/>
    <s v="cold brew"/>
    <n v="2.2000000000000002"/>
    <x v="2"/>
    <n v="7"/>
    <x v="2"/>
    <x v="1"/>
    <n v="793"/>
    <s v="Cafa"/>
    <x v="3"/>
    <x v="1"/>
    <x v="2"/>
  </r>
  <r>
    <n v="907"/>
    <n v="14294"/>
    <x v="2"/>
    <x v="0"/>
    <s v="Vizag"/>
    <x v="7"/>
    <x v="4"/>
    <s v="100000+"/>
    <x v="2"/>
    <s v="instant"/>
    <n v="1.25"/>
    <x v="0"/>
    <n v="1"/>
    <x v="2"/>
    <x v="2"/>
    <n v="1644"/>
    <s v="local store"/>
    <x v="1"/>
    <x v="1"/>
    <x v="0"/>
  </r>
  <r>
    <n v="908"/>
    <n v="52109"/>
    <x v="2"/>
    <x v="1"/>
    <s v="Bengaluru"/>
    <x v="0"/>
    <x v="4"/>
    <s v="15000-30000"/>
    <x v="0"/>
    <s v="filter"/>
    <n v="2.4"/>
    <x v="0"/>
    <n v="1"/>
    <x v="0"/>
    <x v="1"/>
    <n v="483"/>
    <s v="local store"/>
    <x v="0"/>
    <x v="3"/>
    <x v="1"/>
  </r>
  <r>
    <n v="909"/>
    <n v="58507"/>
    <x v="1"/>
    <x v="0"/>
    <s v="Indore"/>
    <x v="10"/>
    <x v="6"/>
    <s v="30000-60000"/>
    <x v="2"/>
    <s v="cold brew"/>
    <n v="2.5"/>
    <x v="1"/>
    <n v="3"/>
    <x v="1"/>
    <x v="5"/>
    <n v="849"/>
    <s v="online"/>
    <x v="0"/>
    <x v="1"/>
    <x v="0"/>
  </r>
  <r>
    <n v="910"/>
    <n v="61671"/>
    <x v="1"/>
    <x v="0"/>
    <s v="Mysuru"/>
    <x v="0"/>
    <x v="1"/>
    <s v="60000-100000"/>
    <x v="0"/>
    <s v="filter"/>
    <n v="0.6"/>
    <x v="0"/>
    <n v="1"/>
    <x v="2"/>
    <x v="1"/>
    <n v="1103"/>
    <s v="local store"/>
    <x v="2"/>
    <x v="3"/>
    <x v="0"/>
  </r>
  <r>
    <n v="911"/>
    <n v="21528"/>
    <x v="3"/>
    <x v="0"/>
    <s v="Mysuru"/>
    <x v="0"/>
    <x v="9"/>
    <s v="&lt;15000"/>
    <x v="1"/>
    <s v="filter"/>
    <n v="1"/>
    <x v="0"/>
    <n v="1"/>
    <x v="1"/>
    <x v="0"/>
    <n v="265"/>
    <s v="local store"/>
    <x v="1"/>
    <x v="0"/>
    <x v="0"/>
  </r>
  <r>
    <n v="912"/>
    <n v="53022"/>
    <x v="4"/>
    <x v="0"/>
    <s v="Mysuru"/>
    <x v="0"/>
    <x v="2"/>
    <s v="15000-30000"/>
    <x v="2"/>
    <s v="instant"/>
    <n v="1.25"/>
    <x v="2"/>
    <n v="7"/>
    <x v="1"/>
    <x v="4"/>
    <n v="401"/>
    <s v="Cafa"/>
    <x v="1"/>
    <x v="0"/>
    <x v="0"/>
  </r>
  <r>
    <n v="913"/>
    <n v="29697"/>
    <x v="3"/>
    <x v="0"/>
    <s v="Vizag"/>
    <x v="7"/>
    <x v="0"/>
    <s v="15000-30000"/>
    <x v="7"/>
    <s v="instant"/>
    <n v="1.5"/>
    <x v="2"/>
    <n v="7"/>
    <x v="0"/>
    <x v="3"/>
    <n v="466"/>
    <s v="supermarket"/>
    <x v="0"/>
    <x v="1"/>
    <x v="0"/>
  </r>
  <r>
    <n v="914"/>
    <n v="16870"/>
    <x v="2"/>
    <x v="1"/>
    <s v="Nagpur"/>
    <x v="4"/>
    <x v="8"/>
    <s v="60000-100000"/>
    <x v="1"/>
    <s v="instant"/>
    <n v="0.5"/>
    <x v="2"/>
    <n v="7"/>
    <x v="0"/>
    <x v="1"/>
    <n v="881"/>
    <s v="Cafa"/>
    <x v="2"/>
    <x v="3"/>
    <x v="2"/>
  </r>
  <r>
    <n v="915"/>
    <n v="68026"/>
    <x v="3"/>
    <x v="0"/>
    <s v="Mumbai"/>
    <x v="4"/>
    <x v="0"/>
    <s v="60000-100000"/>
    <x v="1"/>
    <s v="instant"/>
    <n v="1"/>
    <x v="2"/>
    <n v="7"/>
    <x v="2"/>
    <x v="0"/>
    <n v="880"/>
    <s v="local store"/>
    <x v="1"/>
    <x v="3"/>
    <x v="1"/>
  </r>
  <r>
    <n v="916"/>
    <n v="77813"/>
    <x v="1"/>
    <x v="0"/>
    <s v="Vizag"/>
    <x v="7"/>
    <x v="8"/>
    <s v="30000-60000"/>
    <x v="7"/>
    <s v="instant"/>
    <n v="1.5"/>
    <x v="2"/>
    <n v="7"/>
    <x v="1"/>
    <x v="4"/>
    <n v="853"/>
    <s v="Cafa"/>
    <x v="3"/>
    <x v="2"/>
    <x v="0"/>
  </r>
  <r>
    <n v="917"/>
    <n v="86134"/>
    <x v="2"/>
    <x v="1"/>
    <s v="Coimbatore"/>
    <x v="6"/>
    <x v="7"/>
    <s v="15000-30000"/>
    <x v="2"/>
    <s v="filter"/>
    <n v="0.625"/>
    <x v="1"/>
    <n v="3"/>
    <x v="1"/>
    <x v="0"/>
    <n v="431"/>
    <s v="local store"/>
    <x v="2"/>
    <x v="0"/>
    <x v="0"/>
  </r>
  <r>
    <n v="918"/>
    <n v="10313"/>
    <x v="0"/>
    <x v="0"/>
    <s v="Chennai"/>
    <x v="6"/>
    <x v="5"/>
    <s v="15000-30000"/>
    <x v="0"/>
    <s v="filter"/>
    <n v="1.2"/>
    <x v="1"/>
    <n v="3"/>
    <x v="1"/>
    <x v="4"/>
    <n v="430"/>
    <s v="online"/>
    <x v="1"/>
    <x v="0"/>
    <x v="1"/>
  </r>
  <r>
    <n v="919"/>
    <n v="63362"/>
    <x v="1"/>
    <x v="0"/>
    <s v="Kochi"/>
    <x v="8"/>
    <x v="8"/>
    <s v="30000-60000"/>
    <x v="4"/>
    <s v="instant"/>
    <n v="0.55000000000000004"/>
    <x v="2"/>
    <n v="7"/>
    <x v="2"/>
    <x v="2"/>
    <n v="724"/>
    <s v="Cafa"/>
    <x v="2"/>
    <x v="1"/>
    <x v="2"/>
  </r>
  <r>
    <n v="920"/>
    <n v="40842"/>
    <x v="1"/>
    <x v="0"/>
    <s v="Pune"/>
    <x v="4"/>
    <x v="8"/>
    <s v="15000-30000"/>
    <x v="7"/>
    <s v="instant"/>
    <n v="0.75"/>
    <x v="1"/>
    <n v="3"/>
    <x v="1"/>
    <x v="0"/>
    <n v="284"/>
    <s v="Cafa"/>
    <x v="1"/>
    <x v="1"/>
    <x v="2"/>
  </r>
  <r>
    <n v="921"/>
    <n v="51034"/>
    <x v="3"/>
    <x v="0"/>
    <s v="Kochi"/>
    <x v="8"/>
    <x v="5"/>
    <s v="15000-30000"/>
    <x v="0"/>
    <s v="filter"/>
    <n v="1.2"/>
    <x v="0"/>
    <n v="1"/>
    <x v="1"/>
    <x v="5"/>
    <n v="510"/>
    <s v="supermarket"/>
    <x v="1"/>
    <x v="3"/>
    <x v="2"/>
  </r>
  <r>
    <n v="922"/>
    <n v="61505"/>
    <x v="3"/>
    <x v="1"/>
    <s v="Vizag"/>
    <x v="7"/>
    <x v="1"/>
    <s v="15000-30000"/>
    <x v="4"/>
    <s v="instant"/>
    <n v="2.2000000000000002"/>
    <x v="2"/>
    <n v="7"/>
    <x v="1"/>
    <x v="1"/>
    <n v="521"/>
    <s v="local store"/>
    <x v="3"/>
    <x v="2"/>
    <x v="0"/>
  </r>
  <r>
    <n v="923"/>
    <n v="44412"/>
    <x v="4"/>
    <x v="1"/>
    <s v="Mysuru"/>
    <x v="0"/>
    <x v="5"/>
    <s v="30000-60000"/>
    <x v="5"/>
    <s v="instant"/>
    <n v="2.2000000000000002"/>
    <x v="1"/>
    <n v="3"/>
    <x v="0"/>
    <x v="0"/>
    <n v="532"/>
    <s v="Cafa"/>
    <x v="3"/>
    <x v="0"/>
    <x v="0"/>
  </r>
  <r>
    <n v="924"/>
    <n v="48692"/>
    <x v="1"/>
    <x v="1"/>
    <s v="Pune"/>
    <x v="4"/>
    <x v="0"/>
    <s v="&lt;15000"/>
    <x v="6"/>
    <s v="filter"/>
    <n v="2.2000000000000002"/>
    <x v="0"/>
    <n v="1"/>
    <x v="0"/>
    <x v="2"/>
    <n v="211"/>
    <s v="online"/>
    <x v="3"/>
    <x v="2"/>
    <x v="2"/>
  </r>
  <r>
    <n v="925"/>
    <n v="15265"/>
    <x v="1"/>
    <x v="0"/>
    <s v="Pune"/>
    <x v="4"/>
    <x v="9"/>
    <s v="60000-100000"/>
    <x v="2"/>
    <s v="cold brew"/>
    <n v="2.5"/>
    <x v="2"/>
    <n v="7"/>
    <x v="1"/>
    <x v="2"/>
    <n v="1041"/>
    <s v="online"/>
    <x v="3"/>
    <x v="3"/>
    <x v="2"/>
  </r>
  <r>
    <n v="926"/>
    <n v="90027"/>
    <x v="1"/>
    <x v="1"/>
    <s v="Mumbai"/>
    <x v="4"/>
    <x v="9"/>
    <s v="60000-100000"/>
    <x v="2"/>
    <s v="cold brew"/>
    <n v="2.5"/>
    <x v="1"/>
    <n v="3"/>
    <x v="0"/>
    <x v="5"/>
    <n v="1122"/>
    <s v="local store"/>
    <x v="3"/>
    <x v="1"/>
    <x v="1"/>
  </r>
  <r>
    <n v="927"/>
    <n v="86057"/>
    <x v="1"/>
    <x v="0"/>
    <s v="Delhi"/>
    <x v="2"/>
    <x v="7"/>
    <s v="&lt;15000"/>
    <x v="2"/>
    <s v="cold brew"/>
    <n v="0.625"/>
    <x v="2"/>
    <n v="7"/>
    <x v="2"/>
    <x v="1"/>
    <n v="259"/>
    <s v="local store"/>
    <x v="2"/>
    <x v="3"/>
    <x v="1"/>
  </r>
  <r>
    <n v="928"/>
    <n v="97891"/>
    <x v="0"/>
    <x v="0"/>
    <s v="Kolkata"/>
    <x v="5"/>
    <x v="8"/>
    <s v="&lt;15000"/>
    <x v="5"/>
    <s v="instant"/>
    <n v="1.1000000000000001"/>
    <x v="2"/>
    <n v="7"/>
    <x v="1"/>
    <x v="4"/>
    <n v="397"/>
    <s v="Cafa"/>
    <x v="1"/>
    <x v="3"/>
    <x v="1"/>
  </r>
  <r>
    <n v="929"/>
    <n v="60223"/>
    <x v="1"/>
    <x v="1"/>
    <s v="Mysuru"/>
    <x v="0"/>
    <x v="5"/>
    <s v="30000-60000"/>
    <x v="2"/>
    <s v="cold brew"/>
    <n v="2.5"/>
    <x v="0"/>
    <n v="1"/>
    <x v="0"/>
    <x v="1"/>
    <n v="841"/>
    <s v="local store"/>
    <x v="3"/>
    <x v="0"/>
    <x v="0"/>
  </r>
  <r>
    <n v="930"/>
    <n v="91337"/>
    <x v="3"/>
    <x v="1"/>
    <s v="Delhi"/>
    <x v="2"/>
    <x v="7"/>
    <s v="30000-60000"/>
    <x v="7"/>
    <s v="cold brew"/>
    <n v="1.5"/>
    <x v="2"/>
    <n v="7"/>
    <x v="2"/>
    <x v="0"/>
    <n v="668"/>
    <s v="supermarket"/>
    <x v="0"/>
    <x v="2"/>
    <x v="1"/>
  </r>
  <r>
    <n v="931"/>
    <n v="12979"/>
    <x v="2"/>
    <x v="1"/>
    <s v="Chennai"/>
    <x v="6"/>
    <x v="4"/>
    <s v="&lt;15000"/>
    <x v="0"/>
    <s v="filter"/>
    <n v="0.6"/>
    <x v="1"/>
    <n v="3"/>
    <x v="2"/>
    <x v="1"/>
    <n v="396"/>
    <s v="online"/>
    <x v="2"/>
    <x v="0"/>
    <x v="1"/>
  </r>
  <r>
    <n v="932"/>
    <n v="70764"/>
    <x v="3"/>
    <x v="1"/>
    <s v="Pune"/>
    <x v="4"/>
    <x v="2"/>
    <s v="15000-30000"/>
    <x v="7"/>
    <s v="espresso"/>
    <n v="1.5"/>
    <x v="2"/>
    <n v="7"/>
    <x v="1"/>
    <x v="1"/>
    <n v="586"/>
    <s v="local store"/>
    <x v="3"/>
    <x v="0"/>
    <x v="2"/>
  </r>
  <r>
    <n v="933"/>
    <n v="86154"/>
    <x v="0"/>
    <x v="1"/>
    <s v="Mysuru"/>
    <x v="0"/>
    <x v="4"/>
    <s v="30000-60000"/>
    <x v="5"/>
    <s v="instant"/>
    <n v="0.55000000000000004"/>
    <x v="2"/>
    <n v="7"/>
    <x v="0"/>
    <x v="3"/>
    <n v="892"/>
    <s v="online"/>
    <x v="2"/>
    <x v="0"/>
    <x v="0"/>
  </r>
  <r>
    <n v="934"/>
    <n v="24841"/>
    <x v="3"/>
    <x v="1"/>
    <s v="Nagpur"/>
    <x v="4"/>
    <x v="4"/>
    <s v="&lt;15000"/>
    <x v="3"/>
    <s v="instant"/>
    <n v="2.2000000000000002"/>
    <x v="1"/>
    <n v="3"/>
    <x v="1"/>
    <x v="1"/>
    <n v="258"/>
    <s v="online"/>
    <x v="0"/>
    <x v="3"/>
    <x v="2"/>
  </r>
  <r>
    <n v="935"/>
    <n v="23652"/>
    <x v="0"/>
    <x v="0"/>
    <s v="Ahmedabad"/>
    <x v="9"/>
    <x v="9"/>
    <s v="100000+"/>
    <x v="3"/>
    <s v="ready-to-drink"/>
    <n v="2.2000000000000002"/>
    <x v="1"/>
    <n v="3"/>
    <x v="2"/>
    <x v="1"/>
    <n v="2320"/>
    <s v="supermarket"/>
    <x v="0"/>
    <x v="3"/>
    <x v="2"/>
  </r>
  <r>
    <n v="936"/>
    <n v="52115"/>
    <x v="3"/>
    <x v="0"/>
    <s v="Kochi"/>
    <x v="8"/>
    <x v="6"/>
    <s v="&lt;15000"/>
    <x v="4"/>
    <s v="filter"/>
    <n v="2.2000000000000002"/>
    <x v="2"/>
    <n v="7"/>
    <x v="2"/>
    <x v="2"/>
    <n v="252"/>
    <s v="online"/>
    <x v="3"/>
    <x v="1"/>
    <x v="2"/>
  </r>
  <r>
    <n v="937"/>
    <n v="67270"/>
    <x v="4"/>
    <x v="0"/>
    <s v="Coimbatore"/>
    <x v="6"/>
    <x v="6"/>
    <s v="60000-100000"/>
    <x v="0"/>
    <s v="filter"/>
    <n v="1.2"/>
    <x v="2"/>
    <n v="7"/>
    <x v="0"/>
    <x v="5"/>
    <n v="982"/>
    <s v="Cafa"/>
    <x v="1"/>
    <x v="0"/>
    <x v="0"/>
  </r>
  <r>
    <n v="938"/>
    <n v="68115"/>
    <x v="3"/>
    <x v="0"/>
    <s v="Coimbatore"/>
    <x v="6"/>
    <x v="9"/>
    <s v="30000-60000"/>
    <x v="0"/>
    <s v="filter"/>
    <n v="2.4"/>
    <x v="0"/>
    <n v="1"/>
    <x v="0"/>
    <x v="0"/>
    <n v="731"/>
    <s v="online"/>
    <x v="0"/>
    <x v="3"/>
    <x v="0"/>
  </r>
  <r>
    <n v="939"/>
    <n v="39630"/>
    <x v="1"/>
    <x v="1"/>
    <s v="Bengaluru"/>
    <x v="0"/>
    <x v="7"/>
    <s v="&lt;15000"/>
    <x v="6"/>
    <s v="instant"/>
    <n v="2.2000000000000002"/>
    <x v="1"/>
    <n v="3"/>
    <x v="0"/>
    <x v="1"/>
    <n v="315"/>
    <s v="local store"/>
    <x v="0"/>
    <x v="2"/>
    <x v="1"/>
  </r>
  <r>
    <n v="940"/>
    <n v="37991"/>
    <x v="1"/>
    <x v="1"/>
    <s v="Indore"/>
    <x v="10"/>
    <x v="3"/>
    <s v="30000-60000"/>
    <x v="5"/>
    <s v="instant"/>
    <n v="2.2000000000000002"/>
    <x v="1"/>
    <n v="3"/>
    <x v="2"/>
    <x v="2"/>
    <n v="605"/>
    <s v="online"/>
    <x v="0"/>
    <x v="3"/>
    <x v="0"/>
  </r>
  <r>
    <n v="941"/>
    <n v="64326"/>
    <x v="1"/>
    <x v="0"/>
    <s v="Nagpur"/>
    <x v="4"/>
    <x v="1"/>
    <s v="&lt;15000"/>
    <x v="2"/>
    <s v="ready-to-drink"/>
    <n v="0.625"/>
    <x v="2"/>
    <n v="7"/>
    <x v="1"/>
    <x v="1"/>
    <n v="392"/>
    <s v="online"/>
    <x v="2"/>
    <x v="3"/>
    <x v="2"/>
  </r>
  <r>
    <n v="942"/>
    <n v="17577"/>
    <x v="2"/>
    <x v="0"/>
    <s v="Kolkata"/>
    <x v="5"/>
    <x v="5"/>
    <s v="&lt;15000"/>
    <x v="1"/>
    <s v="instant"/>
    <n v="2"/>
    <x v="0"/>
    <n v="1"/>
    <x v="0"/>
    <x v="1"/>
    <n v="272"/>
    <s v="Cafa"/>
    <x v="3"/>
    <x v="3"/>
    <x v="1"/>
  </r>
  <r>
    <n v="943"/>
    <n v="49825"/>
    <x v="3"/>
    <x v="0"/>
    <s v="Delhi"/>
    <x v="2"/>
    <x v="9"/>
    <s v="&lt;15000"/>
    <x v="2"/>
    <s v="cold brew"/>
    <n v="2.5"/>
    <x v="2"/>
    <n v="7"/>
    <x v="0"/>
    <x v="3"/>
    <n v="322"/>
    <s v="online"/>
    <x v="0"/>
    <x v="1"/>
    <x v="1"/>
  </r>
  <r>
    <n v="944"/>
    <n v="13389"/>
    <x v="2"/>
    <x v="0"/>
    <s v="Chennai"/>
    <x v="6"/>
    <x v="7"/>
    <s v="&lt;15000"/>
    <x v="6"/>
    <s v="filter"/>
    <n v="2.2000000000000002"/>
    <x v="0"/>
    <n v="1"/>
    <x v="0"/>
    <x v="0"/>
    <n v="274"/>
    <s v="local store"/>
    <x v="3"/>
    <x v="0"/>
    <x v="1"/>
  </r>
  <r>
    <n v="945"/>
    <n v="81769"/>
    <x v="0"/>
    <x v="1"/>
    <s v="Mysuru"/>
    <x v="0"/>
    <x v="8"/>
    <s v="15000-30000"/>
    <x v="3"/>
    <s v="instant"/>
    <n v="2.2000000000000002"/>
    <x v="0"/>
    <n v="1"/>
    <x v="0"/>
    <x v="1"/>
    <n v="409"/>
    <s v="Cafa"/>
    <x v="0"/>
    <x v="2"/>
    <x v="0"/>
  </r>
  <r>
    <n v="946"/>
    <n v="32397"/>
    <x v="4"/>
    <x v="0"/>
    <s v="Indore"/>
    <x v="10"/>
    <x v="6"/>
    <s v="30000-60000"/>
    <x v="5"/>
    <s v="cold brew"/>
    <n v="1.1000000000000001"/>
    <x v="0"/>
    <n v="1"/>
    <x v="1"/>
    <x v="0"/>
    <n v="581"/>
    <s v="local store"/>
    <x v="1"/>
    <x v="1"/>
    <x v="0"/>
  </r>
  <r>
    <n v="947"/>
    <n v="42997"/>
    <x v="2"/>
    <x v="1"/>
    <s v="Chennai"/>
    <x v="6"/>
    <x v="5"/>
    <s v="100000+"/>
    <x v="0"/>
    <s v="filter"/>
    <n v="0.6"/>
    <x v="2"/>
    <n v="7"/>
    <x v="0"/>
    <x v="5"/>
    <n v="1948"/>
    <s v="local store"/>
    <x v="2"/>
    <x v="1"/>
    <x v="1"/>
  </r>
  <r>
    <n v="948"/>
    <n v="87591"/>
    <x v="1"/>
    <x v="1"/>
    <s v="Pune"/>
    <x v="4"/>
    <x v="3"/>
    <s v="15000-30000"/>
    <x v="0"/>
    <s v="instant"/>
    <n v="1.2"/>
    <x v="0"/>
    <n v="1"/>
    <x v="0"/>
    <x v="3"/>
    <n v="546"/>
    <s v="supermarket"/>
    <x v="1"/>
    <x v="3"/>
    <x v="2"/>
  </r>
  <r>
    <n v="949"/>
    <n v="57659"/>
    <x v="1"/>
    <x v="0"/>
    <s v="Coimbatore"/>
    <x v="6"/>
    <x v="3"/>
    <s v="&lt;15000"/>
    <x v="0"/>
    <s v="filter"/>
    <n v="2.4"/>
    <x v="2"/>
    <n v="7"/>
    <x v="1"/>
    <x v="0"/>
    <n v="240"/>
    <s v="local store"/>
    <x v="3"/>
    <x v="2"/>
    <x v="0"/>
  </r>
  <r>
    <n v="950"/>
    <n v="83891"/>
    <x v="1"/>
    <x v="0"/>
    <s v="Hyderabad"/>
    <x v="1"/>
    <x v="7"/>
    <s v="30000-60000"/>
    <x v="1"/>
    <s v="espresso"/>
    <n v="2"/>
    <x v="2"/>
    <n v="7"/>
    <x v="0"/>
    <x v="1"/>
    <n v="881"/>
    <s v="supermarket"/>
    <x v="0"/>
    <x v="2"/>
    <x v="1"/>
  </r>
  <r>
    <n v="951"/>
    <n v="72367"/>
    <x v="1"/>
    <x v="1"/>
    <s v="Mysuru"/>
    <x v="0"/>
    <x v="9"/>
    <s v="30000-60000"/>
    <x v="7"/>
    <s v="instant"/>
    <n v="0.375"/>
    <x v="2"/>
    <n v="7"/>
    <x v="0"/>
    <x v="0"/>
    <n v="692"/>
    <s v="Cafa"/>
    <x v="2"/>
    <x v="3"/>
    <x v="0"/>
  </r>
  <r>
    <n v="952"/>
    <n v="63252"/>
    <x v="2"/>
    <x v="1"/>
    <s v="Kochi"/>
    <x v="8"/>
    <x v="9"/>
    <s v="60000-100000"/>
    <x v="0"/>
    <s v="filter"/>
    <n v="2.4"/>
    <x v="2"/>
    <n v="7"/>
    <x v="2"/>
    <x v="3"/>
    <n v="1184"/>
    <s v="local store"/>
    <x v="0"/>
    <x v="2"/>
    <x v="2"/>
  </r>
  <r>
    <n v="953"/>
    <n v="60774"/>
    <x v="1"/>
    <x v="1"/>
    <s v="Mumbai"/>
    <x v="4"/>
    <x v="5"/>
    <s v="&lt;15000"/>
    <x v="2"/>
    <s v="cold brew"/>
    <n v="1.25"/>
    <x v="1"/>
    <n v="3"/>
    <x v="0"/>
    <x v="1"/>
    <n v="224"/>
    <s v="online"/>
    <x v="1"/>
    <x v="0"/>
    <x v="1"/>
  </r>
  <r>
    <n v="954"/>
    <n v="86513"/>
    <x v="1"/>
    <x v="1"/>
    <s v="Coimbatore"/>
    <x v="6"/>
    <x v="2"/>
    <s v="30000-60000"/>
    <x v="3"/>
    <s v="filter"/>
    <n v="2.2000000000000002"/>
    <x v="0"/>
    <n v="1"/>
    <x v="1"/>
    <x v="1"/>
    <n v="477"/>
    <s v="Cafa"/>
    <x v="0"/>
    <x v="1"/>
    <x v="0"/>
  </r>
  <r>
    <n v="955"/>
    <n v="20285"/>
    <x v="2"/>
    <x v="0"/>
    <s v="Indore"/>
    <x v="10"/>
    <x v="7"/>
    <s v="&lt;15000"/>
    <x v="6"/>
    <s v="espresso"/>
    <n v="1.1000000000000001"/>
    <x v="1"/>
    <n v="3"/>
    <x v="2"/>
    <x v="0"/>
    <n v="345"/>
    <s v="supermarket"/>
    <x v="1"/>
    <x v="2"/>
    <x v="0"/>
  </r>
  <r>
    <n v="956"/>
    <n v="82793"/>
    <x v="1"/>
    <x v="1"/>
    <s v="Vizag"/>
    <x v="7"/>
    <x v="0"/>
    <s v="15000-30000"/>
    <x v="2"/>
    <s v="cold brew"/>
    <n v="0.625"/>
    <x v="2"/>
    <n v="7"/>
    <x v="2"/>
    <x v="2"/>
    <n v="332"/>
    <s v="supermarket"/>
    <x v="2"/>
    <x v="2"/>
    <x v="0"/>
  </r>
  <r>
    <n v="957"/>
    <n v="44265"/>
    <x v="2"/>
    <x v="1"/>
    <s v="Indore"/>
    <x v="10"/>
    <x v="8"/>
    <s v="&lt;15000"/>
    <x v="0"/>
    <s v="instant"/>
    <n v="2.4"/>
    <x v="2"/>
    <n v="7"/>
    <x v="0"/>
    <x v="1"/>
    <n v="213"/>
    <s v="online"/>
    <x v="0"/>
    <x v="0"/>
    <x v="0"/>
  </r>
  <r>
    <n v="958"/>
    <n v="26103"/>
    <x v="2"/>
    <x v="0"/>
    <s v="Coimbatore"/>
    <x v="6"/>
    <x v="7"/>
    <s v="60000-100000"/>
    <x v="0"/>
    <s v="filter"/>
    <n v="0.6"/>
    <x v="2"/>
    <n v="7"/>
    <x v="0"/>
    <x v="0"/>
    <n v="1325"/>
    <s v="online"/>
    <x v="2"/>
    <x v="0"/>
    <x v="0"/>
  </r>
  <r>
    <n v="959"/>
    <n v="63203"/>
    <x v="2"/>
    <x v="1"/>
    <s v="Pune"/>
    <x v="4"/>
    <x v="9"/>
    <s v="15000-30000"/>
    <x v="0"/>
    <s v="instant"/>
    <n v="2.4"/>
    <x v="2"/>
    <n v="7"/>
    <x v="0"/>
    <x v="1"/>
    <n v="547"/>
    <s v="online"/>
    <x v="0"/>
    <x v="0"/>
    <x v="2"/>
  </r>
  <r>
    <n v="960"/>
    <n v="82266"/>
    <x v="2"/>
    <x v="1"/>
    <s v="Nagpur"/>
    <x v="4"/>
    <x v="8"/>
    <s v="15000-30000"/>
    <x v="5"/>
    <s v="filter"/>
    <n v="0.55000000000000004"/>
    <x v="0"/>
    <n v="1"/>
    <x v="0"/>
    <x v="4"/>
    <n v="372"/>
    <s v="local store"/>
    <x v="2"/>
    <x v="3"/>
    <x v="2"/>
  </r>
  <r>
    <n v="961"/>
    <n v="55015"/>
    <x v="2"/>
    <x v="0"/>
    <s v="Mysuru"/>
    <x v="0"/>
    <x v="2"/>
    <s v="&lt;15000"/>
    <x v="0"/>
    <s v="filter"/>
    <n v="0.6"/>
    <x v="2"/>
    <n v="7"/>
    <x v="0"/>
    <x v="1"/>
    <n v="194"/>
    <s v="supermarket"/>
    <x v="2"/>
    <x v="2"/>
    <x v="0"/>
  </r>
  <r>
    <n v="962"/>
    <n v="67053"/>
    <x v="2"/>
    <x v="0"/>
    <s v="Mysuru"/>
    <x v="0"/>
    <x v="8"/>
    <s v="100000+"/>
    <x v="0"/>
    <s v="filter"/>
    <n v="2.4"/>
    <x v="0"/>
    <n v="1"/>
    <x v="0"/>
    <x v="2"/>
    <n v="1252"/>
    <s v="online"/>
    <x v="0"/>
    <x v="0"/>
    <x v="0"/>
  </r>
  <r>
    <n v="963"/>
    <n v="70708"/>
    <x v="1"/>
    <x v="0"/>
    <s v="Coimbatore"/>
    <x v="6"/>
    <x v="9"/>
    <s v="30000-60000"/>
    <x v="0"/>
    <s v="filter"/>
    <n v="1.2"/>
    <x v="2"/>
    <n v="7"/>
    <x v="0"/>
    <x v="2"/>
    <n v="734"/>
    <s v="supermarket"/>
    <x v="1"/>
    <x v="0"/>
    <x v="0"/>
  </r>
  <r>
    <n v="964"/>
    <n v="66658"/>
    <x v="1"/>
    <x v="0"/>
    <s v="Delhi"/>
    <x v="2"/>
    <x v="3"/>
    <s v="15000-30000"/>
    <x v="2"/>
    <s v="instant"/>
    <n v="1.25"/>
    <x v="0"/>
    <n v="1"/>
    <x v="2"/>
    <x v="4"/>
    <n v="554"/>
    <s v="local store"/>
    <x v="1"/>
    <x v="0"/>
    <x v="1"/>
  </r>
  <r>
    <n v="965"/>
    <n v="51555"/>
    <x v="4"/>
    <x v="0"/>
    <s v="Mumbai"/>
    <x v="4"/>
    <x v="4"/>
    <s v="30000-60000"/>
    <x v="4"/>
    <s v="cold brew"/>
    <n v="0.55000000000000004"/>
    <x v="0"/>
    <n v="1"/>
    <x v="0"/>
    <x v="0"/>
    <n v="510"/>
    <s v="Cafa"/>
    <x v="2"/>
    <x v="3"/>
    <x v="1"/>
  </r>
  <r>
    <n v="966"/>
    <n v="33022"/>
    <x v="3"/>
    <x v="1"/>
    <s v="Ahmedabad"/>
    <x v="9"/>
    <x v="8"/>
    <s v="30000-60000"/>
    <x v="4"/>
    <s v="instant"/>
    <n v="0.55000000000000004"/>
    <x v="1"/>
    <n v="3"/>
    <x v="1"/>
    <x v="2"/>
    <n v="825"/>
    <s v="local store"/>
    <x v="2"/>
    <x v="2"/>
    <x v="2"/>
  </r>
  <r>
    <n v="967"/>
    <n v="52108"/>
    <x v="0"/>
    <x v="0"/>
    <s v="Mysuru"/>
    <x v="0"/>
    <x v="0"/>
    <s v="&lt;15000"/>
    <x v="0"/>
    <s v="filter"/>
    <n v="2.4"/>
    <x v="2"/>
    <n v="7"/>
    <x v="0"/>
    <x v="1"/>
    <n v="388"/>
    <s v="online"/>
    <x v="3"/>
    <x v="1"/>
    <x v="0"/>
  </r>
  <r>
    <n v="968"/>
    <n v="84731"/>
    <x v="0"/>
    <x v="1"/>
    <s v="Coimbatore"/>
    <x v="6"/>
    <x v="6"/>
    <s v="15000-30000"/>
    <x v="4"/>
    <s v="filter"/>
    <n v="0.55000000000000004"/>
    <x v="0"/>
    <n v="1"/>
    <x v="2"/>
    <x v="5"/>
    <n v="496"/>
    <s v="local store"/>
    <x v="2"/>
    <x v="0"/>
    <x v="0"/>
  </r>
  <r>
    <n v="969"/>
    <n v="40638"/>
    <x v="0"/>
    <x v="0"/>
    <s v="Delhi"/>
    <x v="2"/>
    <x v="9"/>
    <s v="100000+"/>
    <x v="6"/>
    <s v="instant"/>
    <n v="1.1000000000000001"/>
    <x v="1"/>
    <n v="3"/>
    <x v="0"/>
    <x v="3"/>
    <n v="1956"/>
    <s v="Cafa"/>
    <x v="1"/>
    <x v="3"/>
    <x v="1"/>
  </r>
  <r>
    <n v="970"/>
    <n v="68719"/>
    <x v="2"/>
    <x v="0"/>
    <s v="Bengaluru"/>
    <x v="0"/>
    <x v="6"/>
    <s v="30000-60000"/>
    <x v="0"/>
    <s v="ready-to-drink"/>
    <n v="2.4"/>
    <x v="2"/>
    <n v="7"/>
    <x v="1"/>
    <x v="1"/>
    <n v="588"/>
    <s v="Cafa"/>
    <x v="3"/>
    <x v="2"/>
    <x v="1"/>
  </r>
  <r>
    <n v="971"/>
    <n v="81414"/>
    <x v="2"/>
    <x v="0"/>
    <s v="Kolkata"/>
    <x v="5"/>
    <x v="4"/>
    <s v="15000-30000"/>
    <x v="7"/>
    <s v="instant"/>
    <n v="1.5"/>
    <x v="2"/>
    <n v="7"/>
    <x v="0"/>
    <x v="0"/>
    <n v="319"/>
    <s v="supermarket"/>
    <x v="0"/>
    <x v="2"/>
    <x v="1"/>
  </r>
  <r>
    <n v="972"/>
    <n v="94725"/>
    <x v="1"/>
    <x v="0"/>
    <s v="Coimbatore"/>
    <x v="6"/>
    <x v="2"/>
    <s v="60000-100000"/>
    <x v="7"/>
    <s v="espresso"/>
    <n v="1.5"/>
    <x v="1"/>
    <n v="3"/>
    <x v="0"/>
    <x v="1"/>
    <n v="1351"/>
    <s v="local store"/>
    <x v="0"/>
    <x v="3"/>
    <x v="0"/>
  </r>
  <r>
    <n v="973"/>
    <n v="41608"/>
    <x v="3"/>
    <x v="1"/>
    <s v="Pune"/>
    <x v="4"/>
    <x v="8"/>
    <s v="60000-100000"/>
    <x v="2"/>
    <s v="filter"/>
    <n v="1.25"/>
    <x v="2"/>
    <n v="7"/>
    <x v="1"/>
    <x v="1"/>
    <n v="1027"/>
    <s v="local store"/>
    <x v="1"/>
    <x v="0"/>
    <x v="2"/>
  </r>
  <r>
    <n v="974"/>
    <n v="84241"/>
    <x v="0"/>
    <x v="0"/>
    <s v="Mumbai"/>
    <x v="4"/>
    <x v="2"/>
    <s v="30000-60000"/>
    <x v="3"/>
    <s v="cold brew"/>
    <n v="0.55000000000000004"/>
    <x v="2"/>
    <n v="7"/>
    <x v="1"/>
    <x v="1"/>
    <n v="416"/>
    <s v="Cafa"/>
    <x v="2"/>
    <x v="3"/>
    <x v="1"/>
  </r>
  <r>
    <n v="975"/>
    <n v="35272"/>
    <x v="1"/>
    <x v="1"/>
    <s v="Chennai"/>
    <x v="6"/>
    <x v="7"/>
    <s v="100000+"/>
    <x v="6"/>
    <s v="cold brew"/>
    <n v="2.2000000000000002"/>
    <x v="1"/>
    <n v="3"/>
    <x v="1"/>
    <x v="0"/>
    <n v="2444"/>
    <s v="online"/>
    <x v="3"/>
    <x v="0"/>
    <x v="1"/>
  </r>
  <r>
    <n v="976"/>
    <n v="72691"/>
    <x v="1"/>
    <x v="1"/>
    <s v="Hyderabad"/>
    <x v="1"/>
    <x v="3"/>
    <s v="15000-30000"/>
    <x v="5"/>
    <s v="instant"/>
    <n v="0.55000000000000004"/>
    <x v="2"/>
    <n v="7"/>
    <x v="1"/>
    <x v="5"/>
    <n v="491"/>
    <s v="Cafa"/>
    <x v="2"/>
    <x v="0"/>
    <x v="1"/>
  </r>
  <r>
    <n v="977"/>
    <n v="43762"/>
    <x v="2"/>
    <x v="0"/>
    <s v="Bengaluru"/>
    <x v="0"/>
    <x v="3"/>
    <s v="&lt;15000"/>
    <x v="7"/>
    <s v="instant"/>
    <n v="0.375"/>
    <x v="2"/>
    <n v="7"/>
    <x v="1"/>
    <x v="5"/>
    <n v="290"/>
    <s v="supermarket"/>
    <x v="2"/>
    <x v="2"/>
    <x v="1"/>
  </r>
  <r>
    <n v="978"/>
    <n v="58372"/>
    <x v="4"/>
    <x v="1"/>
    <s v="Ahmedabad"/>
    <x v="9"/>
    <x v="9"/>
    <s v="&lt;15000"/>
    <x v="2"/>
    <s v="instant"/>
    <n v="2.5"/>
    <x v="1"/>
    <n v="3"/>
    <x v="1"/>
    <x v="4"/>
    <n v="379"/>
    <s v="local store"/>
    <x v="3"/>
    <x v="3"/>
    <x v="2"/>
  </r>
  <r>
    <n v="979"/>
    <n v="13046"/>
    <x v="0"/>
    <x v="0"/>
    <s v="Delhi"/>
    <x v="2"/>
    <x v="2"/>
    <s v="&lt;15000"/>
    <x v="5"/>
    <s v="instant"/>
    <n v="2.2000000000000002"/>
    <x v="2"/>
    <n v="7"/>
    <x v="0"/>
    <x v="3"/>
    <n v="399"/>
    <s v="Cafa"/>
    <x v="3"/>
    <x v="0"/>
    <x v="1"/>
  </r>
  <r>
    <n v="980"/>
    <n v="63387"/>
    <x v="1"/>
    <x v="0"/>
    <s v="Kolkata"/>
    <x v="5"/>
    <x v="0"/>
    <s v="15000-30000"/>
    <x v="2"/>
    <s v="instant"/>
    <n v="0.625"/>
    <x v="2"/>
    <n v="7"/>
    <x v="0"/>
    <x v="1"/>
    <n v="432"/>
    <s v="local store"/>
    <x v="2"/>
    <x v="1"/>
    <x v="1"/>
  </r>
  <r>
    <n v="981"/>
    <n v="63270"/>
    <x v="0"/>
    <x v="0"/>
    <s v="Mysuru"/>
    <x v="0"/>
    <x v="2"/>
    <s v="60000-100000"/>
    <x v="7"/>
    <s v="filter"/>
    <n v="0.375"/>
    <x v="1"/>
    <n v="3"/>
    <x v="2"/>
    <x v="1"/>
    <n v="1243"/>
    <s v="Cafa"/>
    <x v="2"/>
    <x v="1"/>
    <x v="0"/>
  </r>
  <r>
    <n v="982"/>
    <n v="36223"/>
    <x v="2"/>
    <x v="0"/>
    <s v="Jaipur"/>
    <x v="3"/>
    <x v="1"/>
    <s v="30000-60000"/>
    <x v="3"/>
    <s v="instant"/>
    <n v="2.2000000000000002"/>
    <x v="2"/>
    <n v="7"/>
    <x v="0"/>
    <x v="4"/>
    <n v="717"/>
    <s v="online"/>
    <x v="0"/>
    <x v="2"/>
    <x v="2"/>
  </r>
  <r>
    <n v="983"/>
    <n v="96422"/>
    <x v="2"/>
    <x v="0"/>
    <s v="Bengaluru"/>
    <x v="0"/>
    <x v="2"/>
    <s v="30000-60000"/>
    <x v="3"/>
    <s v="instant"/>
    <n v="2.2000000000000002"/>
    <x v="2"/>
    <n v="7"/>
    <x v="2"/>
    <x v="1"/>
    <n v="516"/>
    <s v="local store"/>
    <x v="0"/>
    <x v="0"/>
    <x v="1"/>
  </r>
  <r>
    <n v="984"/>
    <n v="30819"/>
    <x v="0"/>
    <x v="0"/>
    <s v="Chennai"/>
    <x v="6"/>
    <x v="9"/>
    <s v="60000-100000"/>
    <x v="2"/>
    <s v="filter"/>
    <n v="2.5"/>
    <x v="2"/>
    <n v="7"/>
    <x v="0"/>
    <x v="3"/>
    <n v="1128"/>
    <s v="supermarket"/>
    <x v="3"/>
    <x v="0"/>
    <x v="1"/>
  </r>
  <r>
    <n v="985"/>
    <n v="80961"/>
    <x v="3"/>
    <x v="0"/>
    <s v="Kolkata"/>
    <x v="5"/>
    <x v="5"/>
    <s v="100000+"/>
    <x v="1"/>
    <s v="instant"/>
    <n v="2"/>
    <x v="0"/>
    <n v="1"/>
    <x v="0"/>
    <x v="1"/>
    <n v="1739"/>
    <s v="local store"/>
    <x v="3"/>
    <x v="3"/>
    <x v="1"/>
  </r>
  <r>
    <n v="986"/>
    <n v="13407"/>
    <x v="2"/>
    <x v="0"/>
    <s v="Hyderabad"/>
    <x v="1"/>
    <x v="9"/>
    <s v="30000-60000"/>
    <x v="1"/>
    <s v="instant"/>
    <n v="2"/>
    <x v="2"/>
    <n v="7"/>
    <x v="0"/>
    <x v="1"/>
    <n v="799"/>
    <s v="supermarket"/>
    <x v="3"/>
    <x v="1"/>
    <x v="1"/>
  </r>
  <r>
    <n v="987"/>
    <n v="45563"/>
    <x v="2"/>
    <x v="0"/>
    <s v="Coimbatore"/>
    <x v="6"/>
    <x v="4"/>
    <s v="15000-30000"/>
    <x v="6"/>
    <s v="ready-to-drink"/>
    <n v="0.55000000000000004"/>
    <x v="1"/>
    <n v="3"/>
    <x v="1"/>
    <x v="0"/>
    <n v="518"/>
    <s v="online"/>
    <x v="2"/>
    <x v="3"/>
    <x v="0"/>
  </r>
  <r>
    <n v="988"/>
    <n v="27195"/>
    <x v="1"/>
    <x v="1"/>
    <s v="Delhi"/>
    <x v="2"/>
    <x v="8"/>
    <s v="60000-100000"/>
    <x v="0"/>
    <s v="instant"/>
    <n v="0.6"/>
    <x v="2"/>
    <n v="7"/>
    <x v="1"/>
    <x v="3"/>
    <n v="1360"/>
    <s v="Cafa"/>
    <x v="2"/>
    <x v="1"/>
    <x v="1"/>
  </r>
  <r>
    <n v="989"/>
    <n v="27606"/>
    <x v="1"/>
    <x v="0"/>
    <s v="Mumbai"/>
    <x v="4"/>
    <x v="7"/>
    <s v="30000-60000"/>
    <x v="2"/>
    <s v="cold brew"/>
    <n v="2.5"/>
    <x v="2"/>
    <n v="7"/>
    <x v="2"/>
    <x v="1"/>
    <n v="545"/>
    <s v="Cafa"/>
    <x v="3"/>
    <x v="0"/>
    <x v="1"/>
  </r>
  <r>
    <n v="990"/>
    <n v="93140"/>
    <x v="3"/>
    <x v="0"/>
    <s v="Kolkata"/>
    <x v="5"/>
    <x v="1"/>
    <s v="&lt;15000"/>
    <x v="1"/>
    <s v="filter"/>
    <n v="0.5"/>
    <x v="2"/>
    <n v="7"/>
    <x v="0"/>
    <x v="3"/>
    <n v="225"/>
    <s v="Cafa"/>
    <x v="2"/>
    <x v="0"/>
    <x v="1"/>
  </r>
  <r>
    <n v="991"/>
    <n v="87694"/>
    <x v="4"/>
    <x v="1"/>
    <s v="Mysuru"/>
    <x v="0"/>
    <x v="5"/>
    <s v="30000-60000"/>
    <x v="0"/>
    <s v="filter"/>
    <n v="2.4"/>
    <x v="2"/>
    <n v="7"/>
    <x v="1"/>
    <x v="5"/>
    <n v="886"/>
    <s v="local store"/>
    <x v="0"/>
    <x v="1"/>
    <x v="0"/>
  </r>
  <r>
    <n v="992"/>
    <n v="61556"/>
    <x v="2"/>
    <x v="0"/>
    <s v="Pune"/>
    <x v="4"/>
    <x v="7"/>
    <s v="&lt;15000"/>
    <x v="4"/>
    <s v="filter"/>
    <n v="2.2000000000000002"/>
    <x v="0"/>
    <n v="1"/>
    <x v="1"/>
    <x v="3"/>
    <n v="213"/>
    <s v="supermarket"/>
    <x v="3"/>
    <x v="0"/>
    <x v="2"/>
  </r>
  <r>
    <n v="993"/>
    <n v="87283"/>
    <x v="2"/>
    <x v="1"/>
    <s v="Mysuru"/>
    <x v="0"/>
    <x v="4"/>
    <s v="&lt;15000"/>
    <x v="0"/>
    <s v="filter"/>
    <n v="1.2"/>
    <x v="2"/>
    <n v="7"/>
    <x v="0"/>
    <x v="5"/>
    <n v="377"/>
    <s v="supermarket"/>
    <x v="1"/>
    <x v="3"/>
    <x v="0"/>
  </r>
  <r>
    <n v="994"/>
    <n v="37323"/>
    <x v="3"/>
    <x v="0"/>
    <s v="Pune"/>
    <x v="4"/>
    <x v="3"/>
    <s v="15000-30000"/>
    <x v="3"/>
    <s v="ready-to-drink"/>
    <n v="1.1000000000000001"/>
    <x v="1"/>
    <n v="3"/>
    <x v="1"/>
    <x v="1"/>
    <n v="562"/>
    <s v="local store"/>
    <x v="1"/>
    <x v="3"/>
    <x v="2"/>
  </r>
  <r>
    <n v="995"/>
    <n v="28065"/>
    <x v="3"/>
    <x v="1"/>
    <s v="Vizag"/>
    <x v="7"/>
    <x v="4"/>
    <s v="30000-60000"/>
    <x v="7"/>
    <s v="instant"/>
    <n v="1.5"/>
    <x v="1"/>
    <n v="3"/>
    <x v="0"/>
    <x v="0"/>
    <n v="656"/>
    <s v="Cafa"/>
    <x v="3"/>
    <x v="3"/>
    <x v="0"/>
  </r>
  <r>
    <n v="996"/>
    <n v="27985"/>
    <x v="1"/>
    <x v="0"/>
    <s v="Ahmedabad"/>
    <x v="9"/>
    <x v="0"/>
    <s v="&lt;15000"/>
    <x v="0"/>
    <s v="espresso"/>
    <n v="0.6"/>
    <x v="2"/>
    <n v="7"/>
    <x v="0"/>
    <x v="0"/>
    <n v="303"/>
    <s v="Cafa"/>
    <x v="2"/>
    <x v="2"/>
    <x v="2"/>
  </r>
  <r>
    <n v="997"/>
    <n v="82980"/>
    <x v="3"/>
    <x v="1"/>
    <s v="Delhi"/>
    <x v="2"/>
    <x v="6"/>
    <s v="15000-30000"/>
    <x v="1"/>
    <s v="instant"/>
    <n v="1"/>
    <x v="2"/>
    <n v="7"/>
    <x v="1"/>
    <x v="3"/>
    <n v="277"/>
    <s v="online"/>
    <x v="1"/>
    <x v="2"/>
    <x v="1"/>
  </r>
  <r>
    <n v="998"/>
    <n v="20965"/>
    <x v="1"/>
    <x v="1"/>
    <s v="Hyderabad"/>
    <x v="1"/>
    <x v="0"/>
    <s v="&lt;15000"/>
    <x v="7"/>
    <s v="ready-to-drink"/>
    <n v="0.375"/>
    <x v="2"/>
    <n v="7"/>
    <x v="0"/>
    <x v="1"/>
    <n v="349"/>
    <s v="Cafa"/>
    <x v="2"/>
    <x v="2"/>
    <x v="1"/>
  </r>
  <r>
    <n v="999"/>
    <n v="92571"/>
    <x v="2"/>
    <x v="0"/>
    <s v="Coimbatore"/>
    <x v="6"/>
    <x v="3"/>
    <s v="30000-60000"/>
    <x v="5"/>
    <s v="instant"/>
    <n v="2.2000000000000002"/>
    <x v="0"/>
    <n v="1"/>
    <x v="0"/>
    <x v="5"/>
    <n v="674"/>
    <s v="supermarket"/>
    <x v="3"/>
    <x v="3"/>
    <x v="0"/>
  </r>
  <r>
    <n v="1000"/>
    <n v="59137"/>
    <x v="3"/>
    <x v="0"/>
    <s v="Chennai"/>
    <x v="6"/>
    <x v="8"/>
    <s v="100000+"/>
    <x v="6"/>
    <s v="ready-to-drink"/>
    <n v="0.55000000000000004"/>
    <x v="2"/>
    <n v="7"/>
    <x v="0"/>
    <x v="4"/>
    <n v="1418"/>
    <s v="online"/>
    <x v="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Statewise coffee expens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ates">
  <location ref="A3:B15" firstHeaderRow="1" firstDataRow="1" firstDataCol="1"/>
  <pivotFields count="20">
    <pivotField numFmtId="1" showAll="0"/>
    <pivotField numFmtId="1" showAll="0"/>
    <pivotField showAll="0">
      <items count="6">
        <item x="1"/>
        <item x="2"/>
        <item x="0"/>
        <item x="3"/>
        <item x="4"/>
        <item t="default"/>
      </items>
    </pivotField>
    <pivotField showAll="0">
      <items count="4">
        <item x="0"/>
        <item x="1"/>
        <item m="1" x="2"/>
        <item t="default"/>
      </items>
    </pivotField>
    <pivotField showAll="0"/>
    <pivotField axis="axisRow" showAll="0">
      <items count="12">
        <item x="7"/>
        <item x="2"/>
        <item x="9"/>
        <item x="0"/>
        <item x="8"/>
        <item x="10"/>
        <item x="4"/>
        <item x="3"/>
        <item x="6"/>
        <item x="1"/>
        <item x="5"/>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items count="7">
        <item x="2"/>
        <item x="0"/>
        <item x="3"/>
        <item x="1"/>
        <item x="4"/>
        <item x="5"/>
        <item t="default"/>
      </items>
    </pivotField>
    <pivotField dataField="1" numFmtId="1" showAll="0"/>
    <pivotField showAll="0"/>
    <pivotField showAll="0"/>
    <pivotField showAll="0"/>
    <pivotField showAll="0">
      <items count="4">
        <item x="1"/>
        <item x="2"/>
        <item x="0"/>
        <item t="default"/>
      </items>
    </pivotField>
  </pivotFields>
  <rowFields count="1">
    <field x="5"/>
  </rowFields>
  <rowItems count="12">
    <i>
      <x/>
    </i>
    <i>
      <x v="1"/>
    </i>
    <i>
      <x v="2"/>
    </i>
    <i>
      <x v="3"/>
    </i>
    <i>
      <x v="4"/>
    </i>
    <i>
      <x v="5"/>
    </i>
    <i>
      <x v="6"/>
    </i>
    <i>
      <x v="7"/>
    </i>
    <i>
      <x v="8"/>
    </i>
    <i>
      <x v="9"/>
    </i>
    <i>
      <x v="10"/>
    </i>
    <i t="grand">
      <x/>
    </i>
  </rowItems>
  <colItems count="1">
    <i/>
  </colItems>
  <dataFields count="1">
    <dataField name="Sum of Monthly Coffee Expenses INR" fld="15"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D342FD-3F3F-40C0-BA3F-D4A3E221764E}" name="preferred tim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77:B82" firstHeaderRow="1" firstDataRow="1" firstDataCol="1"/>
  <pivotFields count="20">
    <pivotField numFmtId="1" showAll="0"/>
    <pivotField numFmtId="1" showAll="0"/>
    <pivotField showAll="0">
      <items count="6">
        <item x="1"/>
        <item x="2"/>
        <item x="0"/>
        <item x="3"/>
        <item x="4"/>
        <item t="default"/>
      </items>
    </pivotField>
    <pivotField showAll="0">
      <items count="4">
        <item x="0"/>
        <item x="1"/>
        <item m="1" x="2"/>
        <item t="default"/>
      </items>
    </pivotField>
    <pivotField showAll="0"/>
    <pivotField showAll="0"/>
    <pivotField showAll="0"/>
    <pivotField showAll="0"/>
    <pivotField showAll="0"/>
    <pivotField showAll="0"/>
    <pivotField dataField="1" showAll="0"/>
    <pivotField showAll="0">
      <items count="4">
        <item x="2"/>
        <item x="0"/>
        <item x="1"/>
        <item t="default"/>
      </items>
    </pivotField>
    <pivotField showAll="0"/>
    <pivotField showAll="0"/>
    <pivotField showAll="0">
      <items count="7">
        <item x="2"/>
        <item x="0"/>
        <item x="3"/>
        <item x="1"/>
        <item x="4"/>
        <item x="5"/>
        <item t="default"/>
      </items>
    </pivotField>
    <pivotField numFmtId="1" showAll="0"/>
    <pivotField showAll="0"/>
    <pivotField axis="axisRow" showAll="0">
      <items count="5">
        <item x="2"/>
        <item x="1"/>
        <item x="3"/>
        <item x="0"/>
        <item t="default"/>
      </items>
    </pivotField>
    <pivotField showAll="0"/>
    <pivotField showAll="0">
      <items count="4">
        <item x="1"/>
        <item x="2"/>
        <item x="0"/>
        <item t="default"/>
      </items>
    </pivotField>
  </pivotFields>
  <rowFields count="1">
    <field x="17"/>
  </rowFields>
  <rowItems count="5">
    <i>
      <x/>
    </i>
    <i>
      <x v="1"/>
    </i>
    <i>
      <x v="2"/>
    </i>
    <i>
      <x v="3"/>
    </i>
    <i t="grand">
      <x/>
    </i>
  </rowItems>
  <colItems count="1">
    <i/>
  </colItems>
  <dataFields count="1">
    <dataField name="Sum of cups_per_day" fld="10" baseField="17" baseItem="0" numFmtId="1"/>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3"/>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7" count="1" selected="0">
            <x v="0"/>
          </reference>
        </references>
      </pivotArea>
    </chartFormat>
    <chartFormat chart="2" format="12">
      <pivotArea type="data" outline="0" fieldPosition="0">
        <references count="2">
          <reference field="4294967294" count="1" selected="0">
            <x v="0"/>
          </reference>
          <reference field="17" count="1" selected="0">
            <x v="1"/>
          </reference>
        </references>
      </pivotArea>
    </chartFormat>
    <chartFormat chart="2" format="13">
      <pivotArea type="data" outline="0" fieldPosition="0">
        <references count="2">
          <reference field="4294967294" count="1" selected="0">
            <x v="0"/>
          </reference>
          <reference field="17" count="1" selected="0">
            <x v="2"/>
          </reference>
        </references>
      </pivotArea>
    </chartFormat>
    <chartFormat chart="2"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favourite coffeetype" cacheId="0"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outline="1" outlineData="1" multipleFieldFilters="0" chartFormat="7">
  <location ref="A45:B53" firstHeaderRow="1" firstDataRow="1" firstDataCol="1"/>
  <pivotFields count="20">
    <pivotField numFmtId="1" showAll="0"/>
    <pivotField dataField="1" numFmtId="1" showAll="0"/>
    <pivotField showAll="0">
      <items count="6">
        <item x="1"/>
        <item x="2"/>
        <item x="0"/>
        <item x="3"/>
        <item x="4"/>
        <item t="default"/>
      </items>
    </pivotField>
    <pivotField showAll="0">
      <items count="4">
        <item x="0"/>
        <item x="1"/>
        <item m="1" x="2"/>
        <item t="default"/>
      </items>
    </pivotField>
    <pivotField showAll="0"/>
    <pivotField showAll="0"/>
    <pivotField showAll="0"/>
    <pivotField showAll="0"/>
    <pivotField axis="axisRow" showAll="0" sortType="descending">
      <items count="9">
        <item x="6"/>
        <item x="3"/>
        <item x="2"/>
        <item x="7"/>
        <item x="0"/>
        <item x="1"/>
        <item x="4"/>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showAll="0"/>
    <pivotField showAll="0"/>
    <pivotField showAll="0">
      <items count="7">
        <item x="2"/>
        <item x="0"/>
        <item x="3"/>
        <item x="1"/>
        <item x="4"/>
        <item x="5"/>
        <item t="default"/>
      </items>
    </pivotField>
    <pivotField numFmtId="1" showAll="0"/>
    <pivotField showAll="0"/>
    <pivotField showAll="0"/>
    <pivotField showAll="0"/>
    <pivotField showAll="0">
      <items count="4">
        <item x="1"/>
        <item x="2"/>
        <item x="0"/>
        <item t="default"/>
      </items>
    </pivotField>
  </pivotFields>
  <rowFields count="1">
    <field x="8"/>
  </rowFields>
  <rowItems count="8">
    <i>
      <x v="4"/>
    </i>
    <i>
      <x v="2"/>
    </i>
    <i>
      <x v="7"/>
    </i>
    <i>
      <x v="3"/>
    </i>
    <i>
      <x v="6"/>
    </i>
    <i>
      <x/>
    </i>
    <i>
      <x v="5"/>
    </i>
    <i>
      <x v="1"/>
    </i>
  </rowItems>
  <colItems count="1">
    <i/>
  </colItems>
  <dataFields count="1">
    <dataField name="Count of customer_id" fld="1" subtotal="count" baseField="8" baseItem="0"/>
  </dataFields>
  <chartFormats count="28">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8" count="1" selected="0">
            <x v="7"/>
          </reference>
        </references>
      </pivotArea>
    </chartFormat>
    <chartFormat chart="0" format="5">
      <pivotArea type="data" outline="0" fieldPosition="0">
        <references count="2">
          <reference field="4294967294" count="1" selected="0">
            <x v="0"/>
          </reference>
          <reference field="8" count="1" selected="0">
            <x v="3"/>
          </reference>
        </references>
      </pivotArea>
    </chartFormat>
    <chartFormat chart="0" format="6">
      <pivotArea type="data" outline="0" fieldPosition="0">
        <references count="2">
          <reference field="4294967294" count="1" selected="0">
            <x v="0"/>
          </reference>
          <reference field="8" count="1" selected="0">
            <x v="6"/>
          </reference>
        </references>
      </pivotArea>
    </chartFormat>
    <chartFormat chart="0" format="7">
      <pivotArea type="data" outline="0" fieldPosition="0">
        <references count="2">
          <reference field="4294967294" count="1" selected="0">
            <x v="0"/>
          </reference>
          <reference field="8" count="1" selected="0">
            <x v="0"/>
          </reference>
        </references>
      </pivotArea>
    </chartFormat>
    <chartFormat chart="0" format="8">
      <pivotArea type="data" outline="0" fieldPosition="0">
        <references count="2">
          <reference field="4294967294" count="1" selected="0">
            <x v="0"/>
          </reference>
          <reference field="8" count="1" selected="0">
            <x v="5"/>
          </reference>
        </references>
      </pivotArea>
    </chartFormat>
    <chartFormat chart="0" format="9">
      <pivotArea type="data" outline="0" fieldPosition="0">
        <references count="2">
          <reference field="4294967294" count="1" selected="0">
            <x v="0"/>
          </reference>
          <reference field="8" count="1" selected="0">
            <x v="1"/>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8" count="1" selected="0">
            <x v="1"/>
          </reference>
        </references>
      </pivotArea>
    </chartFormat>
    <chartFormat chart="2" format="18">
      <pivotArea type="data" outline="0" fieldPosition="0">
        <references count="2">
          <reference field="4294967294" count="1" selected="0">
            <x v="0"/>
          </reference>
          <reference field="8" count="1" selected="0">
            <x v="5"/>
          </reference>
        </references>
      </pivotArea>
    </chartFormat>
    <chartFormat chart="2" format="19">
      <pivotArea type="data" outline="0" fieldPosition="0">
        <references count="2">
          <reference field="4294967294" count="1" selected="0">
            <x v="0"/>
          </reference>
          <reference field="8" count="1" selected="0">
            <x v="0"/>
          </reference>
        </references>
      </pivotArea>
    </chartFormat>
    <chartFormat chart="2" format="20">
      <pivotArea type="data" outline="0" fieldPosition="0">
        <references count="2">
          <reference field="4294967294" count="1" selected="0">
            <x v="0"/>
          </reference>
          <reference field="8" count="1" selected="0">
            <x v="6"/>
          </reference>
        </references>
      </pivotArea>
    </chartFormat>
    <chartFormat chart="2" format="21">
      <pivotArea type="data" outline="0" fieldPosition="0">
        <references count="2">
          <reference field="4294967294" count="1" selected="0">
            <x v="0"/>
          </reference>
          <reference field="8" count="1" selected="0">
            <x v="3"/>
          </reference>
        </references>
      </pivotArea>
    </chartFormat>
    <chartFormat chart="0" format="10">
      <pivotArea type="data" outline="0" fieldPosition="0">
        <references count="2">
          <reference field="4294967294" count="1" selected="0">
            <x v="0"/>
          </reference>
          <reference field="8" count="1" selected="0">
            <x v="2"/>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8" count="1" selected="0">
            <x v="2"/>
          </reference>
        </references>
      </pivotArea>
    </chartFormat>
    <chartFormat chart="5" format="13">
      <pivotArea type="data" outline="0" fieldPosition="0">
        <references count="2">
          <reference field="4294967294" count="1" selected="0">
            <x v="0"/>
          </reference>
          <reference field="8" count="1" selected="0">
            <x v="5"/>
          </reference>
        </references>
      </pivotArea>
    </chartFormat>
    <chartFormat chart="5" format="14">
      <pivotArea type="data" outline="0" fieldPosition="0">
        <references count="2">
          <reference field="4294967294" count="1" selected="0">
            <x v="0"/>
          </reference>
          <reference field="8" count="1" selected="0">
            <x v="1"/>
          </reference>
        </references>
      </pivotArea>
    </chartFormat>
    <chartFormat chart="5" format="15">
      <pivotArea type="data" outline="0" fieldPosition="0">
        <references count="2">
          <reference field="4294967294" count="1" selected="0">
            <x v="0"/>
          </reference>
          <reference field="8" count="1" selected="0">
            <x v="6"/>
          </reference>
        </references>
      </pivotArea>
    </chartFormat>
    <chartFormat chart="5" format="16">
      <pivotArea type="data" outline="0" fieldPosition="0">
        <references count="2">
          <reference field="4294967294" count="1" selected="0">
            <x v="0"/>
          </reference>
          <reference field="8" count="1" selected="0">
            <x v="3"/>
          </reference>
        </references>
      </pivotArea>
    </chartFormat>
    <chartFormat chart="5" format="17">
      <pivotArea type="data" outline="0" fieldPosition="0">
        <references count="2">
          <reference field="4294967294" count="1" selected="0">
            <x v="0"/>
          </reference>
          <reference field="8"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8" count="1" selected="0">
            <x v="2"/>
          </reference>
        </references>
      </pivotArea>
    </chartFormat>
    <chartFormat chart="6" format="20">
      <pivotArea type="data" outline="0" fieldPosition="0">
        <references count="2">
          <reference field="4294967294" count="1" selected="0">
            <x v="0"/>
          </reference>
          <reference field="8" count="1" selected="0">
            <x v="3"/>
          </reference>
        </references>
      </pivotArea>
    </chartFormat>
    <chartFormat chart="6" format="21">
      <pivotArea type="data" outline="0" fieldPosition="0">
        <references count="2">
          <reference field="4294967294" count="1" selected="0">
            <x v="0"/>
          </reference>
          <reference field="8" count="1" selected="0">
            <x v="6"/>
          </reference>
        </references>
      </pivotArea>
    </chartFormat>
    <chartFormat chart="6" format="22">
      <pivotArea type="data" outline="0" fieldPosition="0">
        <references count="2">
          <reference field="4294967294" count="1" selected="0">
            <x v="0"/>
          </reference>
          <reference field="8" count="1" selected="0">
            <x v="0"/>
          </reference>
        </references>
      </pivotArea>
    </chartFormat>
    <chartFormat chart="6" format="23">
      <pivotArea type="data" outline="0" fieldPosition="0">
        <references count="2">
          <reference field="4294967294" count="1" selected="0">
            <x v="0"/>
          </reference>
          <reference field="8" count="1" selected="0">
            <x v="5"/>
          </reference>
        </references>
      </pivotArea>
    </chartFormat>
    <chartFormat chart="6" format="2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50BDE8-F08E-4EA4-A290-2D853F6B8123}" name="health consious tren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25:F132" firstHeaderRow="1" firstDataRow="2" firstDataCol="1"/>
  <pivotFields count="20">
    <pivotField numFmtId="1" showAll="0"/>
    <pivotField dataField="1" numFmtId="1" showAll="0"/>
    <pivotField axis="axisRow" showAll="0">
      <items count="6">
        <item x="1"/>
        <item x="2"/>
        <item x="0"/>
        <item x="3"/>
        <item x="4"/>
        <item t="default"/>
      </items>
    </pivotField>
    <pivotField showAll="0">
      <items count="4">
        <item x="0"/>
        <item x="1"/>
        <item m="1" x="2"/>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7">
        <item x="2"/>
        <item x="0"/>
        <item x="3"/>
        <item x="1"/>
        <item x="4"/>
        <item x="5"/>
        <item t="default"/>
      </items>
    </pivotField>
    <pivotField numFmtId="1" showAll="0"/>
    <pivotField showAll="0"/>
    <pivotField showAll="0"/>
    <pivotField axis="axisCol" showAll="0">
      <items count="5">
        <item x="2"/>
        <item x="3"/>
        <item x="0"/>
        <item x="1"/>
        <item t="default"/>
      </items>
    </pivotField>
    <pivotField showAll="0">
      <items count="4">
        <item x="1"/>
        <item x="2"/>
        <item x="0"/>
        <item t="default"/>
      </items>
    </pivotField>
  </pivotFields>
  <rowFields count="1">
    <field x="2"/>
  </rowFields>
  <rowItems count="6">
    <i>
      <x/>
    </i>
    <i>
      <x v="1"/>
    </i>
    <i>
      <x v="2"/>
    </i>
    <i>
      <x v="3"/>
    </i>
    <i>
      <x v="4"/>
    </i>
    <i t="grand">
      <x/>
    </i>
  </rowItems>
  <colFields count="1">
    <field x="18"/>
  </colFields>
  <colItems count="5">
    <i>
      <x/>
    </i>
    <i>
      <x v="1"/>
    </i>
    <i>
      <x v="2"/>
    </i>
    <i>
      <x v="3"/>
    </i>
    <i t="grand">
      <x/>
    </i>
  </colItems>
  <dataFields count="1">
    <dataField name="Count of customer_id" fld="1" subtotal="count" baseField="18" baseItem="0"/>
  </dataFields>
  <chartFormats count="74">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2" count="1" selected="0">
            <x v="0"/>
          </reference>
          <reference field="18" count="1" selected="0">
            <x v="1"/>
          </reference>
        </references>
      </pivotArea>
    </chartFormat>
    <chartFormat chart="1" format="2">
      <pivotArea type="data" outline="0" fieldPosition="0">
        <references count="3">
          <reference field="4294967294" count="1" selected="0">
            <x v="0"/>
          </reference>
          <reference field="2" count="1" selected="0">
            <x v="1"/>
          </reference>
          <reference field="18" count="1" selected="0">
            <x v="1"/>
          </reference>
        </references>
      </pivotArea>
    </chartFormat>
    <chartFormat chart="1" format="3">
      <pivotArea type="data" outline="0" fieldPosition="0">
        <references count="3">
          <reference field="4294967294" count="1" selected="0">
            <x v="0"/>
          </reference>
          <reference field="2" count="1" selected="0">
            <x v="2"/>
          </reference>
          <reference field="18" count="1" selected="0">
            <x v="1"/>
          </reference>
        </references>
      </pivotArea>
    </chartFormat>
    <chartFormat chart="1" format="4">
      <pivotArea type="data" outline="0" fieldPosition="0">
        <references count="3">
          <reference field="4294967294" count="1" selected="0">
            <x v="0"/>
          </reference>
          <reference field="2" count="1" selected="0">
            <x v="3"/>
          </reference>
          <reference field="18" count="1" selected="0">
            <x v="1"/>
          </reference>
        </references>
      </pivotArea>
    </chartFormat>
    <chartFormat chart="1" format="5">
      <pivotArea type="data" outline="0" fieldPosition="0">
        <references count="3">
          <reference field="4294967294" count="1" selected="0">
            <x v="0"/>
          </reference>
          <reference field="2" count="1" selected="0">
            <x v="4"/>
          </reference>
          <reference field="18" count="1" selected="0">
            <x v="1"/>
          </reference>
        </references>
      </pivotArea>
    </chartFormat>
    <chartFormat chart="1" format="6">
      <pivotArea type="data" outline="0" fieldPosition="0">
        <references count="3">
          <reference field="4294967294" count="1" selected="0">
            <x v="0"/>
          </reference>
          <reference field="2" count="1" selected="0">
            <x v="0"/>
          </reference>
          <reference field="18" count="1" selected="0">
            <x v="2"/>
          </reference>
        </references>
      </pivotArea>
    </chartFormat>
    <chartFormat chart="1" format="7">
      <pivotArea type="data" outline="0" fieldPosition="0">
        <references count="3">
          <reference field="4294967294" count="1" selected="0">
            <x v="0"/>
          </reference>
          <reference field="2" count="1" selected="0">
            <x v="1"/>
          </reference>
          <reference field="18" count="1" selected="0">
            <x v="2"/>
          </reference>
        </references>
      </pivotArea>
    </chartFormat>
    <chartFormat chart="1" format="8">
      <pivotArea type="data" outline="0" fieldPosition="0">
        <references count="3">
          <reference field="4294967294" count="1" selected="0">
            <x v="0"/>
          </reference>
          <reference field="2" count="1" selected="0">
            <x v="2"/>
          </reference>
          <reference field="18" count="1" selected="0">
            <x v="2"/>
          </reference>
        </references>
      </pivotArea>
    </chartFormat>
    <chartFormat chart="1" format="9">
      <pivotArea type="data" outline="0" fieldPosition="0">
        <references count="3">
          <reference field="4294967294" count="1" selected="0">
            <x v="0"/>
          </reference>
          <reference field="2" count="1" selected="0">
            <x v="3"/>
          </reference>
          <reference field="18" count="1" selected="0">
            <x v="2"/>
          </reference>
        </references>
      </pivotArea>
    </chartFormat>
    <chartFormat chart="1" format="10">
      <pivotArea type="data" outline="0" fieldPosition="0">
        <references count="3">
          <reference field="4294967294" count="1" selected="0">
            <x v="0"/>
          </reference>
          <reference field="2" count="1" selected="0">
            <x v="4"/>
          </reference>
          <reference field="18" count="1" selected="0">
            <x v="2"/>
          </reference>
        </references>
      </pivotArea>
    </chartFormat>
    <chartFormat chart="1" format="11">
      <pivotArea type="data" outline="0" fieldPosition="0">
        <references count="3">
          <reference field="4294967294" count="1" selected="0">
            <x v="0"/>
          </reference>
          <reference field="2" count="1" selected="0">
            <x v="0"/>
          </reference>
          <reference field="18" count="1" selected="0">
            <x v="3"/>
          </reference>
        </references>
      </pivotArea>
    </chartFormat>
    <chartFormat chart="1" format="12">
      <pivotArea type="data" outline="0" fieldPosition="0">
        <references count="3">
          <reference field="4294967294" count="1" selected="0">
            <x v="0"/>
          </reference>
          <reference field="2" count="1" selected="0">
            <x v="1"/>
          </reference>
          <reference field="18" count="1" selected="0">
            <x v="3"/>
          </reference>
        </references>
      </pivotArea>
    </chartFormat>
    <chartFormat chart="1" format="13">
      <pivotArea type="data" outline="0" fieldPosition="0">
        <references count="3">
          <reference field="4294967294" count="1" selected="0">
            <x v="0"/>
          </reference>
          <reference field="2" count="1" selected="0">
            <x v="2"/>
          </reference>
          <reference field="18" count="1" selected="0">
            <x v="3"/>
          </reference>
        </references>
      </pivotArea>
    </chartFormat>
    <chartFormat chart="1" format="14">
      <pivotArea type="data" outline="0" fieldPosition="0">
        <references count="3">
          <reference field="4294967294" count="1" selected="0">
            <x v="0"/>
          </reference>
          <reference field="2" count="1" selected="0">
            <x v="3"/>
          </reference>
          <reference field="18" count="1" selected="0">
            <x v="3"/>
          </reference>
        </references>
      </pivotArea>
    </chartFormat>
    <chartFormat chart="1" format="15">
      <pivotArea type="data" outline="0" fieldPosition="0">
        <references count="3">
          <reference field="4294967294" count="1" selected="0">
            <x v="0"/>
          </reference>
          <reference field="2" count="1" selected="0">
            <x v="4"/>
          </reference>
          <reference field="18" count="1" selected="0">
            <x v="3"/>
          </reference>
        </references>
      </pivotArea>
    </chartFormat>
    <chartFormat chart="1" format="16">
      <pivotArea type="data" outline="0" fieldPosition="0">
        <references count="3">
          <reference field="4294967294" count="1" selected="0">
            <x v="0"/>
          </reference>
          <reference field="2" count="1" selected="0">
            <x v="0"/>
          </reference>
          <reference field="18" count="1" selected="0">
            <x v="0"/>
          </reference>
        </references>
      </pivotArea>
    </chartFormat>
    <chartFormat chart="1" format="17">
      <pivotArea type="data" outline="0" fieldPosition="0">
        <references count="3">
          <reference field="4294967294" count="1" selected="0">
            <x v="0"/>
          </reference>
          <reference field="2" count="1" selected="0">
            <x v="1"/>
          </reference>
          <reference field="18" count="1" selected="0">
            <x v="0"/>
          </reference>
        </references>
      </pivotArea>
    </chartFormat>
    <chartFormat chart="1" format="18">
      <pivotArea type="data" outline="0" fieldPosition="0">
        <references count="3">
          <reference field="4294967294" count="1" selected="0">
            <x v="0"/>
          </reference>
          <reference field="2" count="1" selected="0">
            <x v="2"/>
          </reference>
          <reference field="18" count="1" selected="0">
            <x v="0"/>
          </reference>
        </references>
      </pivotArea>
    </chartFormat>
    <chartFormat chart="1" format="19">
      <pivotArea type="data" outline="0" fieldPosition="0">
        <references count="3">
          <reference field="4294967294" count="1" selected="0">
            <x v="0"/>
          </reference>
          <reference field="2" count="1" selected="0">
            <x v="3"/>
          </reference>
          <reference field="18" count="1" selected="0">
            <x v="0"/>
          </reference>
        </references>
      </pivotArea>
    </chartFormat>
    <chartFormat chart="1" format="20">
      <pivotArea type="data" outline="0" fieldPosition="0">
        <references count="3">
          <reference field="4294967294" count="1" selected="0">
            <x v="0"/>
          </reference>
          <reference field="2" count="1" selected="0">
            <x v="4"/>
          </reference>
          <reference field="18" count="1" selected="0">
            <x v="0"/>
          </reference>
        </references>
      </pivotArea>
    </chartFormat>
    <chartFormat chart="1" format="21" series="1">
      <pivotArea type="data" outline="0" fieldPosition="0">
        <references count="2">
          <reference field="4294967294" count="1" selected="0">
            <x v="0"/>
          </reference>
          <reference field="18" count="1" selected="0">
            <x v="1"/>
          </reference>
        </references>
      </pivotArea>
    </chartFormat>
    <chartFormat chart="1" format="22" series="1">
      <pivotArea type="data" outline="0" fieldPosition="0">
        <references count="2">
          <reference field="4294967294" count="1" selected="0">
            <x v="0"/>
          </reference>
          <reference field="18" count="1" selected="0">
            <x v="2"/>
          </reference>
        </references>
      </pivotArea>
    </chartFormat>
    <chartFormat chart="1" format="23" series="1">
      <pivotArea type="data" outline="0" fieldPosition="0">
        <references count="2">
          <reference field="4294967294" count="1" selected="0">
            <x v="0"/>
          </reference>
          <reference field="18" count="1" selected="0">
            <x v="3"/>
          </reference>
        </references>
      </pivotArea>
    </chartFormat>
    <chartFormat chart="1" format="24" series="1">
      <pivotArea type="data" outline="0" fieldPosition="0">
        <references count="2">
          <reference field="4294967294" count="1" selected="0">
            <x v="0"/>
          </reference>
          <reference field="18" count="1" selected="0">
            <x v="0"/>
          </reference>
        </references>
      </pivotArea>
    </chartFormat>
    <chartFormat chart="2" format="25" series="1">
      <pivotArea type="data" outline="0" fieldPosition="0">
        <references count="2">
          <reference field="4294967294" count="1" selected="0">
            <x v="0"/>
          </reference>
          <reference field="18" count="1" selected="0">
            <x v="0"/>
          </reference>
        </references>
      </pivotArea>
    </chartFormat>
    <chartFormat chart="2" format="26">
      <pivotArea type="data" outline="0" fieldPosition="0">
        <references count="3">
          <reference field="4294967294" count="1" selected="0">
            <x v="0"/>
          </reference>
          <reference field="2" count="1" selected="0">
            <x v="0"/>
          </reference>
          <reference field="18" count="1" selected="0">
            <x v="0"/>
          </reference>
        </references>
      </pivotArea>
    </chartFormat>
    <chartFormat chart="2" format="27">
      <pivotArea type="data" outline="0" fieldPosition="0">
        <references count="3">
          <reference field="4294967294" count="1" selected="0">
            <x v="0"/>
          </reference>
          <reference field="2" count="1" selected="0">
            <x v="1"/>
          </reference>
          <reference field="18" count="1" selected="0">
            <x v="0"/>
          </reference>
        </references>
      </pivotArea>
    </chartFormat>
    <chartFormat chart="2" format="28">
      <pivotArea type="data" outline="0" fieldPosition="0">
        <references count="3">
          <reference field="4294967294" count="1" selected="0">
            <x v="0"/>
          </reference>
          <reference field="2" count="1" selected="0">
            <x v="2"/>
          </reference>
          <reference field="18" count="1" selected="0">
            <x v="0"/>
          </reference>
        </references>
      </pivotArea>
    </chartFormat>
    <chartFormat chart="2" format="29">
      <pivotArea type="data" outline="0" fieldPosition="0">
        <references count="3">
          <reference field="4294967294" count="1" selected="0">
            <x v="0"/>
          </reference>
          <reference field="2" count="1" selected="0">
            <x v="3"/>
          </reference>
          <reference field="18" count="1" selected="0">
            <x v="0"/>
          </reference>
        </references>
      </pivotArea>
    </chartFormat>
    <chartFormat chart="2" format="30">
      <pivotArea type="data" outline="0" fieldPosition="0">
        <references count="3">
          <reference field="4294967294" count="1" selected="0">
            <x v="0"/>
          </reference>
          <reference field="2" count="1" selected="0">
            <x v="4"/>
          </reference>
          <reference field="18" count="1" selected="0">
            <x v="0"/>
          </reference>
        </references>
      </pivotArea>
    </chartFormat>
    <chartFormat chart="2" format="31" series="1">
      <pivotArea type="data" outline="0" fieldPosition="0">
        <references count="2">
          <reference field="4294967294" count="1" selected="0">
            <x v="0"/>
          </reference>
          <reference field="18" count="1" selected="0">
            <x v="1"/>
          </reference>
        </references>
      </pivotArea>
    </chartFormat>
    <chartFormat chart="2" format="32">
      <pivotArea type="data" outline="0" fieldPosition="0">
        <references count="3">
          <reference field="4294967294" count="1" selected="0">
            <x v="0"/>
          </reference>
          <reference field="2" count="1" selected="0">
            <x v="0"/>
          </reference>
          <reference field="18" count="1" selected="0">
            <x v="1"/>
          </reference>
        </references>
      </pivotArea>
    </chartFormat>
    <chartFormat chart="2" format="33">
      <pivotArea type="data" outline="0" fieldPosition="0">
        <references count="3">
          <reference field="4294967294" count="1" selected="0">
            <x v="0"/>
          </reference>
          <reference field="2" count="1" selected="0">
            <x v="1"/>
          </reference>
          <reference field="18" count="1" selected="0">
            <x v="1"/>
          </reference>
        </references>
      </pivotArea>
    </chartFormat>
    <chartFormat chart="2" format="34">
      <pivotArea type="data" outline="0" fieldPosition="0">
        <references count="3">
          <reference field="4294967294" count="1" selected="0">
            <x v="0"/>
          </reference>
          <reference field="2" count="1" selected="0">
            <x v="2"/>
          </reference>
          <reference field="18" count="1" selected="0">
            <x v="1"/>
          </reference>
        </references>
      </pivotArea>
    </chartFormat>
    <chartFormat chart="2" format="35">
      <pivotArea type="data" outline="0" fieldPosition="0">
        <references count="3">
          <reference field="4294967294" count="1" selected="0">
            <x v="0"/>
          </reference>
          <reference field="2" count="1" selected="0">
            <x v="3"/>
          </reference>
          <reference field="18" count="1" selected="0">
            <x v="1"/>
          </reference>
        </references>
      </pivotArea>
    </chartFormat>
    <chartFormat chart="2" format="36">
      <pivotArea type="data" outline="0" fieldPosition="0">
        <references count="3">
          <reference field="4294967294" count="1" selected="0">
            <x v="0"/>
          </reference>
          <reference field="2" count="1" selected="0">
            <x v="4"/>
          </reference>
          <reference field="18" count="1" selected="0">
            <x v="1"/>
          </reference>
        </references>
      </pivotArea>
    </chartFormat>
    <chartFormat chart="2" format="37" series="1">
      <pivotArea type="data" outline="0" fieldPosition="0">
        <references count="2">
          <reference field="4294967294" count="1" selected="0">
            <x v="0"/>
          </reference>
          <reference field="18" count="1" selected="0">
            <x v="2"/>
          </reference>
        </references>
      </pivotArea>
    </chartFormat>
    <chartFormat chart="2" format="38">
      <pivotArea type="data" outline="0" fieldPosition="0">
        <references count="3">
          <reference field="4294967294" count="1" selected="0">
            <x v="0"/>
          </reference>
          <reference field="2" count="1" selected="0">
            <x v="0"/>
          </reference>
          <reference field="18" count="1" selected="0">
            <x v="2"/>
          </reference>
        </references>
      </pivotArea>
    </chartFormat>
    <chartFormat chart="2" format="39">
      <pivotArea type="data" outline="0" fieldPosition="0">
        <references count="3">
          <reference field="4294967294" count="1" selected="0">
            <x v="0"/>
          </reference>
          <reference field="2" count="1" selected="0">
            <x v="1"/>
          </reference>
          <reference field="18" count="1" selected="0">
            <x v="2"/>
          </reference>
        </references>
      </pivotArea>
    </chartFormat>
    <chartFormat chart="2" format="40">
      <pivotArea type="data" outline="0" fieldPosition="0">
        <references count="3">
          <reference field="4294967294" count="1" selected="0">
            <x v="0"/>
          </reference>
          <reference field="2" count="1" selected="0">
            <x v="2"/>
          </reference>
          <reference field="18" count="1" selected="0">
            <x v="2"/>
          </reference>
        </references>
      </pivotArea>
    </chartFormat>
    <chartFormat chart="2" format="41">
      <pivotArea type="data" outline="0" fieldPosition="0">
        <references count="3">
          <reference field="4294967294" count="1" selected="0">
            <x v="0"/>
          </reference>
          <reference field="2" count="1" selected="0">
            <x v="3"/>
          </reference>
          <reference field="18" count="1" selected="0">
            <x v="2"/>
          </reference>
        </references>
      </pivotArea>
    </chartFormat>
    <chartFormat chart="2" format="42">
      <pivotArea type="data" outline="0" fieldPosition="0">
        <references count="3">
          <reference field="4294967294" count="1" selected="0">
            <x v="0"/>
          </reference>
          <reference field="2" count="1" selected="0">
            <x v="4"/>
          </reference>
          <reference field="18" count="1" selected="0">
            <x v="2"/>
          </reference>
        </references>
      </pivotArea>
    </chartFormat>
    <chartFormat chart="2" format="43" series="1">
      <pivotArea type="data" outline="0" fieldPosition="0">
        <references count="2">
          <reference field="4294967294" count="1" selected="0">
            <x v="0"/>
          </reference>
          <reference field="18" count="1" selected="0">
            <x v="3"/>
          </reference>
        </references>
      </pivotArea>
    </chartFormat>
    <chartFormat chart="2" format="44">
      <pivotArea type="data" outline="0" fieldPosition="0">
        <references count="3">
          <reference field="4294967294" count="1" selected="0">
            <x v="0"/>
          </reference>
          <reference field="2" count="1" selected="0">
            <x v="0"/>
          </reference>
          <reference field="18" count="1" selected="0">
            <x v="3"/>
          </reference>
        </references>
      </pivotArea>
    </chartFormat>
    <chartFormat chart="2" format="45">
      <pivotArea type="data" outline="0" fieldPosition="0">
        <references count="3">
          <reference field="4294967294" count="1" selected="0">
            <x v="0"/>
          </reference>
          <reference field="2" count="1" selected="0">
            <x v="1"/>
          </reference>
          <reference field="18" count="1" selected="0">
            <x v="3"/>
          </reference>
        </references>
      </pivotArea>
    </chartFormat>
    <chartFormat chart="2" format="46">
      <pivotArea type="data" outline="0" fieldPosition="0">
        <references count="3">
          <reference field="4294967294" count="1" selected="0">
            <x v="0"/>
          </reference>
          <reference field="2" count="1" selected="0">
            <x v="2"/>
          </reference>
          <reference field="18" count="1" selected="0">
            <x v="3"/>
          </reference>
        </references>
      </pivotArea>
    </chartFormat>
    <chartFormat chart="2" format="47">
      <pivotArea type="data" outline="0" fieldPosition="0">
        <references count="3">
          <reference field="4294967294" count="1" selected="0">
            <x v="0"/>
          </reference>
          <reference field="2" count="1" selected="0">
            <x v="3"/>
          </reference>
          <reference field="18" count="1" selected="0">
            <x v="3"/>
          </reference>
        </references>
      </pivotArea>
    </chartFormat>
    <chartFormat chart="2" format="48">
      <pivotArea type="data" outline="0" fieldPosition="0">
        <references count="3">
          <reference field="4294967294" count="1" selected="0">
            <x v="0"/>
          </reference>
          <reference field="2" count="1" selected="0">
            <x v="4"/>
          </reference>
          <reference field="18" count="1" selected="0">
            <x v="3"/>
          </reference>
        </references>
      </pivotArea>
    </chartFormat>
    <chartFormat chart="3" format="49" series="1">
      <pivotArea type="data" outline="0" fieldPosition="0">
        <references count="2">
          <reference field="4294967294" count="1" selected="0">
            <x v="0"/>
          </reference>
          <reference field="18" count="1" selected="0">
            <x v="0"/>
          </reference>
        </references>
      </pivotArea>
    </chartFormat>
    <chartFormat chart="3" format="50">
      <pivotArea type="data" outline="0" fieldPosition="0">
        <references count="3">
          <reference field="4294967294" count="1" selected="0">
            <x v="0"/>
          </reference>
          <reference field="2" count="1" selected="0">
            <x v="0"/>
          </reference>
          <reference field="18" count="1" selected="0">
            <x v="0"/>
          </reference>
        </references>
      </pivotArea>
    </chartFormat>
    <chartFormat chart="3" format="51">
      <pivotArea type="data" outline="0" fieldPosition="0">
        <references count="3">
          <reference field="4294967294" count="1" selected="0">
            <x v="0"/>
          </reference>
          <reference field="2" count="1" selected="0">
            <x v="1"/>
          </reference>
          <reference field="18" count="1" selected="0">
            <x v="0"/>
          </reference>
        </references>
      </pivotArea>
    </chartFormat>
    <chartFormat chart="3" format="52">
      <pivotArea type="data" outline="0" fieldPosition="0">
        <references count="3">
          <reference field="4294967294" count="1" selected="0">
            <x v="0"/>
          </reference>
          <reference field="2" count="1" selected="0">
            <x v="2"/>
          </reference>
          <reference field="18" count="1" selected="0">
            <x v="0"/>
          </reference>
        </references>
      </pivotArea>
    </chartFormat>
    <chartFormat chart="3" format="53">
      <pivotArea type="data" outline="0" fieldPosition="0">
        <references count="3">
          <reference field="4294967294" count="1" selected="0">
            <x v="0"/>
          </reference>
          <reference field="2" count="1" selected="0">
            <x v="3"/>
          </reference>
          <reference field="18" count="1" selected="0">
            <x v="0"/>
          </reference>
        </references>
      </pivotArea>
    </chartFormat>
    <chartFormat chart="3" format="54">
      <pivotArea type="data" outline="0" fieldPosition="0">
        <references count="3">
          <reference field="4294967294" count="1" selected="0">
            <x v="0"/>
          </reference>
          <reference field="2" count="1" selected="0">
            <x v="4"/>
          </reference>
          <reference field="18" count="1" selected="0">
            <x v="0"/>
          </reference>
        </references>
      </pivotArea>
    </chartFormat>
    <chartFormat chart="3" format="55" series="1">
      <pivotArea type="data" outline="0" fieldPosition="0">
        <references count="2">
          <reference field="4294967294" count="1" selected="0">
            <x v="0"/>
          </reference>
          <reference field="18" count="1" selected="0">
            <x v="1"/>
          </reference>
        </references>
      </pivotArea>
    </chartFormat>
    <chartFormat chart="3" format="56">
      <pivotArea type="data" outline="0" fieldPosition="0">
        <references count="3">
          <reference field="4294967294" count="1" selected="0">
            <x v="0"/>
          </reference>
          <reference field="2" count="1" selected="0">
            <x v="0"/>
          </reference>
          <reference field="18" count="1" selected="0">
            <x v="1"/>
          </reference>
        </references>
      </pivotArea>
    </chartFormat>
    <chartFormat chart="3" format="57">
      <pivotArea type="data" outline="0" fieldPosition="0">
        <references count="3">
          <reference field="4294967294" count="1" selected="0">
            <x v="0"/>
          </reference>
          <reference field="2" count="1" selected="0">
            <x v="1"/>
          </reference>
          <reference field="18" count="1" selected="0">
            <x v="1"/>
          </reference>
        </references>
      </pivotArea>
    </chartFormat>
    <chartFormat chart="3" format="58">
      <pivotArea type="data" outline="0" fieldPosition="0">
        <references count="3">
          <reference field="4294967294" count="1" selected="0">
            <x v="0"/>
          </reference>
          <reference field="2" count="1" selected="0">
            <x v="2"/>
          </reference>
          <reference field="18" count="1" selected="0">
            <x v="1"/>
          </reference>
        </references>
      </pivotArea>
    </chartFormat>
    <chartFormat chart="3" format="59">
      <pivotArea type="data" outline="0" fieldPosition="0">
        <references count="3">
          <reference field="4294967294" count="1" selected="0">
            <x v="0"/>
          </reference>
          <reference field="2" count="1" selected="0">
            <x v="3"/>
          </reference>
          <reference field="18" count="1" selected="0">
            <x v="1"/>
          </reference>
        </references>
      </pivotArea>
    </chartFormat>
    <chartFormat chart="3" format="60">
      <pivotArea type="data" outline="0" fieldPosition="0">
        <references count="3">
          <reference field="4294967294" count="1" selected="0">
            <x v="0"/>
          </reference>
          <reference field="2" count="1" selected="0">
            <x v="4"/>
          </reference>
          <reference field="18" count="1" selected="0">
            <x v="1"/>
          </reference>
        </references>
      </pivotArea>
    </chartFormat>
    <chartFormat chart="3" format="61" series="1">
      <pivotArea type="data" outline="0" fieldPosition="0">
        <references count="2">
          <reference field="4294967294" count="1" selected="0">
            <x v="0"/>
          </reference>
          <reference field="18" count="1" selected="0">
            <x v="2"/>
          </reference>
        </references>
      </pivotArea>
    </chartFormat>
    <chartFormat chart="3" format="62">
      <pivotArea type="data" outline="0" fieldPosition="0">
        <references count="3">
          <reference field="4294967294" count="1" selected="0">
            <x v="0"/>
          </reference>
          <reference field="2" count="1" selected="0">
            <x v="0"/>
          </reference>
          <reference field="18" count="1" selected="0">
            <x v="2"/>
          </reference>
        </references>
      </pivotArea>
    </chartFormat>
    <chartFormat chart="3" format="63">
      <pivotArea type="data" outline="0" fieldPosition="0">
        <references count="3">
          <reference field="4294967294" count="1" selected="0">
            <x v="0"/>
          </reference>
          <reference field="2" count="1" selected="0">
            <x v="1"/>
          </reference>
          <reference field="18" count="1" selected="0">
            <x v="2"/>
          </reference>
        </references>
      </pivotArea>
    </chartFormat>
    <chartFormat chart="3" format="64">
      <pivotArea type="data" outline="0" fieldPosition="0">
        <references count="3">
          <reference field="4294967294" count="1" selected="0">
            <x v="0"/>
          </reference>
          <reference field="2" count="1" selected="0">
            <x v="2"/>
          </reference>
          <reference field="18" count="1" selected="0">
            <x v="2"/>
          </reference>
        </references>
      </pivotArea>
    </chartFormat>
    <chartFormat chart="3" format="65">
      <pivotArea type="data" outline="0" fieldPosition="0">
        <references count="3">
          <reference field="4294967294" count="1" selected="0">
            <x v="0"/>
          </reference>
          <reference field="2" count="1" selected="0">
            <x v="3"/>
          </reference>
          <reference field="18" count="1" selected="0">
            <x v="2"/>
          </reference>
        </references>
      </pivotArea>
    </chartFormat>
    <chartFormat chart="3" format="66">
      <pivotArea type="data" outline="0" fieldPosition="0">
        <references count="3">
          <reference field="4294967294" count="1" selected="0">
            <x v="0"/>
          </reference>
          <reference field="2" count="1" selected="0">
            <x v="4"/>
          </reference>
          <reference field="18" count="1" selected="0">
            <x v="2"/>
          </reference>
        </references>
      </pivotArea>
    </chartFormat>
    <chartFormat chart="3" format="67" series="1">
      <pivotArea type="data" outline="0" fieldPosition="0">
        <references count="2">
          <reference field="4294967294" count="1" selected="0">
            <x v="0"/>
          </reference>
          <reference field="18" count="1" selected="0">
            <x v="3"/>
          </reference>
        </references>
      </pivotArea>
    </chartFormat>
    <chartFormat chart="3" format="68">
      <pivotArea type="data" outline="0" fieldPosition="0">
        <references count="3">
          <reference field="4294967294" count="1" selected="0">
            <x v="0"/>
          </reference>
          <reference field="2" count="1" selected="0">
            <x v="0"/>
          </reference>
          <reference field="18" count="1" selected="0">
            <x v="3"/>
          </reference>
        </references>
      </pivotArea>
    </chartFormat>
    <chartFormat chart="3" format="69">
      <pivotArea type="data" outline="0" fieldPosition="0">
        <references count="3">
          <reference field="4294967294" count="1" selected="0">
            <x v="0"/>
          </reference>
          <reference field="2" count="1" selected="0">
            <x v="1"/>
          </reference>
          <reference field="18" count="1" selected="0">
            <x v="3"/>
          </reference>
        </references>
      </pivotArea>
    </chartFormat>
    <chartFormat chart="3" format="70">
      <pivotArea type="data" outline="0" fieldPosition="0">
        <references count="3">
          <reference field="4294967294" count="1" selected="0">
            <x v="0"/>
          </reference>
          <reference field="2" count="1" selected="0">
            <x v="2"/>
          </reference>
          <reference field="18" count="1" selected="0">
            <x v="3"/>
          </reference>
        </references>
      </pivotArea>
    </chartFormat>
    <chartFormat chart="3" format="71">
      <pivotArea type="data" outline="0" fieldPosition="0">
        <references count="3">
          <reference field="4294967294" count="1" selected="0">
            <x v="0"/>
          </reference>
          <reference field="2" count="1" selected="0">
            <x v="3"/>
          </reference>
          <reference field="18" count="1" selected="0">
            <x v="3"/>
          </reference>
        </references>
      </pivotArea>
    </chartFormat>
    <chartFormat chart="3" format="72">
      <pivotArea type="data" outline="0" fieldPosition="0">
        <references count="3">
          <reference field="4294967294" count="1" selected="0">
            <x v="0"/>
          </reference>
          <reference field="2" count="1" selected="0">
            <x v="4"/>
          </reference>
          <reference field="18" count="1" selected="0">
            <x v="3"/>
          </reference>
        </references>
      </pivotArea>
    </chartFormat>
    <chartFormat chart="3" format="7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coffee consume vs spending"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fession">
  <location ref="A26:C37" firstHeaderRow="0" firstDataRow="1" firstDataCol="1"/>
  <pivotFields count="20">
    <pivotField numFmtId="1" showAll="0"/>
    <pivotField numFmtId="1" showAll="0"/>
    <pivotField showAll="0">
      <items count="6">
        <item x="1"/>
        <item x="2"/>
        <item x="0"/>
        <item x="3"/>
        <item x="4"/>
        <item t="default"/>
      </items>
    </pivotField>
    <pivotField showAll="0">
      <items count="4">
        <item x="0"/>
        <item x="1"/>
        <item m="1" x="2"/>
        <item t="default"/>
      </items>
    </pivotField>
    <pivotField showAll="0"/>
    <pivotField showAll="0"/>
    <pivotField axis="axisRow" showAll="0">
      <items count="11">
        <item x="4"/>
        <item x="5"/>
        <item x="6"/>
        <item x="1"/>
        <item x="7"/>
        <item x="9"/>
        <item x="3"/>
        <item x="2"/>
        <item x="8"/>
        <item x="0"/>
        <item t="default"/>
      </items>
    </pivotField>
    <pivotField showAll="0"/>
    <pivotField showAll="0"/>
    <pivotField showAll="0"/>
    <pivotField dataField="1" showAll="0"/>
    <pivotField showAll="0">
      <items count="4">
        <item x="2"/>
        <item x="0"/>
        <item x="1"/>
        <item t="default"/>
      </items>
    </pivotField>
    <pivotField showAll="0"/>
    <pivotField showAll="0"/>
    <pivotField showAll="0">
      <items count="7">
        <item x="2"/>
        <item x="0"/>
        <item x="3"/>
        <item x="1"/>
        <item x="4"/>
        <item x="5"/>
        <item t="default"/>
      </items>
    </pivotField>
    <pivotField dataField="1" numFmtId="1" showAll="0"/>
    <pivotField showAll="0"/>
    <pivotField showAll="0"/>
    <pivotField showAll="0"/>
    <pivotField showAll="0">
      <items count="4">
        <item x="1"/>
        <item x="2"/>
        <item x="0"/>
        <item t="default"/>
      </items>
    </pivotField>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cups_per_day" fld="10" subtotal="average" baseField="6" baseItem="0" numFmtId="2"/>
    <dataField name="Sum of average_spend_per_month_inr"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8DE953-8D4F-42AE-B87A-6D7C117940E7}" name="consume loca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93:B97" firstHeaderRow="1" firstDataRow="1" firstDataCol="1"/>
  <pivotFields count="20">
    <pivotField numFmtId="1" showAll="0"/>
    <pivotField dataField="1" numFmtId="1" showAll="0"/>
    <pivotField showAll="0">
      <items count="6">
        <item x="1"/>
        <item x="2"/>
        <item x="0"/>
        <item x="3"/>
        <item x="4"/>
        <item t="default"/>
      </items>
    </pivotField>
    <pivotField showAll="0">
      <items count="4">
        <item x="0"/>
        <item x="1"/>
        <item m="1" x="2"/>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axis="axisRow" showAll="0">
      <items count="4">
        <item x="2"/>
        <item x="0"/>
        <item x="1"/>
        <item t="default"/>
      </items>
    </pivotField>
    <pivotField showAll="0">
      <items count="7">
        <item x="2"/>
        <item x="0"/>
        <item x="3"/>
        <item x="1"/>
        <item x="4"/>
        <item x="5"/>
        <item t="default"/>
      </items>
    </pivotField>
    <pivotField numFmtId="1" showAll="0"/>
    <pivotField showAll="0"/>
    <pivotField showAll="0"/>
    <pivotField showAll="0"/>
    <pivotField showAll="0">
      <items count="4">
        <item x="1"/>
        <item x="2"/>
        <item x="0"/>
        <item t="default"/>
      </items>
    </pivotField>
  </pivotFields>
  <rowFields count="1">
    <field x="13"/>
  </rowFields>
  <rowItems count="4">
    <i>
      <x/>
    </i>
    <i>
      <x v="1"/>
    </i>
    <i>
      <x v="2"/>
    </i>
    <i t="grand">
      <x/>
    </i>
  </rowItems>
  <colItems count="1">
    <i/>
  </colItems>
  <dataFields count="1">
    <dataField name="Count of customer_id" fld="1" subtotal="count" baseField="13"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60A468-5DA3-4BC3-A49B-D261F9BF3C61}" name="metro vs teir tren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09:B113" firstHeaderRow="1" firstDataRow="1" firstDataCol="1"/>
  <pivotFields count="20">
    <pivotField numFmtId="1" showAll="0"/>
    <pivotField dataField="1" numFmtId="1" showAll="0"/>
    <pivotField showAll="0">
      <items count="6">
        <item x="1"/>
        <item x="2"/>
        <item x="0"/>
        <item x="3"/>
        <item x="4"/>
        <item t="default"/>
      </items>
    </pivotField>
    <pivotField showAll="0">
      <items count="4">
        <item x="0"/>
        <item x="1"/>
        <item m="1" x="2"/>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7">
        <item x="2"/>
        <item x="0"/>
        <item x="3"/>
        <item x="1"/>
        <item x="4"/>
        <item x="5"/>
        <item t="default"/>
      </items>
    </pivotField>
    <pivotField numFmtId="1" showAll="0"/>
    <pivotField showAll="0"/>
    <pivotField showAll="0"/>
    <pivotField showAll="0"/>
    <pivotField axis="axisRow" showAll="0">
      <items count="4">
        <item x="1"/>
        <item x="2"/>
        <item x="0"/>
        <item t="default"/>
      </items>
    </pivotField>
  </pivotFields>
  <rowFields count="1">
    <field x="19"/>
  </rowFields>
  <rowItems count="4">
    <i>
      <x/>
    </i>
    <i>
      <x v="1"/>
    </i>
    <i>
      <x v="2"/>
    </i>
    <i t="grand">
      <x/>
    </i>
  </rowItems>
  <colItems count="1">
    <i/>
  </colItems>
  <dataFields count="1">
    <dataField name="Count of customer_id" fld="1" subtotal="count" baseField="19"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2"/>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EF4A5E-0DEC-4A5C-BF6D-845909474035}" name="popular coffeebrand"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63:B69" firstHeaderRow="1" firstDataRow="1" firstDataCol="1"/>
  <pivotFields count="20">
    <pivotField numFmtId="1" showAll="0"/>
    <pivotField dataField="1" numFmtId="1" showAll="0"/>
    <pivotField showAll="0">
      <items count="6">
        <item x="1"/>
        <item x="2"/>
        <item x="0"/>
        <item x="3"/>
        <item x="4"/>
        <item t="default"/>
      </items>
    </pivotField>
    <pivotField showAll="0">
      <items count="4">
        <item x="0"/>
        <item x="1"/>
        <item m="1" x="2"/>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sortType="ascending">
      <items count="7">
        <item x="2"/>
        <item x="0"/>
        <item x="3"/>
        <item x="1"/>
        <item x="4"/>
        <item x="5"/>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showAll="0">
      <items count="4">
        <item x="1"/>
        <item x="2"/>
        <item x="0"/>
        <item t="default"/>
      </items>
    </pivotField>
  </pivotFields>
  <rowFields count="1">
    <field x="14"/>
  </rowFields>
  <rowItems count="6">
    <i>
      <x v="2"/>
    </i>
    <i>
      <x/>
    </i>
    <i>
      <x v="5"/>
    </i>
    <i>
      <x v="4"/>
    </i>
    <i>
      <x v="1"/>
    </i>
    <i>
      <x v="3"/>
    </i>
  </rowItems>
  <colItems count="1">
    <i/>
  </colItems>
  <dataFields count="1">
    <dataField name="Count of customer_id" fld="1" subtotal="count" baseField="14" baseItem="2"/>
  </dataFields>
  <chartFormats count="1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4" count="1" selected="0">
            <x v="3"/>
          </reference>
        </references>
      </pivotArea>
    </chartFormat>
    <chartFormat chart="0" format="4">
      <pivotArea type="data" outline="0" fieldPosition="0">
        <references count="2">
          <reference field="4294967294" count="1" selected="0">
            <x v="0"/>
          </reference>
          <reference field="14" count="1" selected="0">
            <x v="1"/>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0" format="6">
      <pivotArea type="data" outline="0" fieldPosition="0">
        <references count="2">
          <reference field="4294967294" count="1" selected="0">
            <x v="0"/>
          </reference>
          <reference field="14" count="1" selected="0">
            <x v="5"/>
          </reference>
        </references>
      </pivotArea>
    </chartFormat>
    <chartFormat chart="0" format="7">
      <pivotArea type="data" outline="0" fieldPosition="0">
        <references count="2">
          <reference field="4294967294" count="1" selected="0">
            <x v="0"/>
          </reference>
          <reference field="14" count="1" selected="0">
            <x v="0"/>
          </reference>
        </references>
      </pivotArea>
    </chartFormat>
    <chartFormat chart="0" format="8">
      <pivotArea type="data" outline="0" fieldPosition="0">
        <references count="2">
          <reference field="4294967294" count="1" selected="0">
            <x v="0"/>
          </reference>
          <reference field="14" count="1" selected="0">
            <x v="2"/>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4" count="1" selected="0">
            <x v="2"/>
          </reference>
        </references>
      </pivotArea>
    </chartFormat>
    <chartFormat chart="2" format="18">
      <pivotArea type="data" outline="0" fieldPosition="0">
        <references count="2">
          <reference field="4294967294" count="1" selected="0">
            <x v="0"/>
          </reference>
          <reference field="14" count="1" selected="0">
            <x v="0"/>
          </reference>
        </references>
      </pivotArea>
    </chartFormat>
    <chartFormat chart="2" format="19">
      <pivotArea type="data" outline="0" fieldPosition="0">
        <references count="2">
          <reference field="4294967294" count="1" selected="0">
            <x v="0"/>
          </reference>
          <reference field="14" count="1" selected="0">
            <x v="5"/>
          </reference>
        </references>
      </pivotArea>
    </chartFormat>
    <chartFormat chart="2" format="20">
      <pivotArea type="data" outline="0" fieldPosition="0">
        <references count="2">
          <reference field="4294967294" count="1" selected="0">
            <x v="0"/>
          </reference>
          <reference field="14" count="1" selected="0">
            <x v="4"/>
          </reference>
        </references>
      </pivotArea>
    </chartFormat>
    <chartFormat chart="2" format="21">
      <pivotArea type="data" outline="0" fieldPosition="0">
        <references count="2">
          <reference field="4294967294" count="1" selected="0">
            <x v="0"/>
          </reference>
          <reference field="14" count="1" selected="0">
            <x v="1"/>
          </reference>
        </references>
      </pivotArea>
    </chartFormat>
    <chartFormat chart="2" format="22">
      <pivotArea type="data" outline="0" fieldPosition="0">
        <references count="2">
          <reference field="4294967294" count="1" selected="0">
            <x v="0"/>
          </reference>
          <reference field="14" count="1" selected="0">
            <x v="3"/>
          </reference>
        </references>
      </pivotArea>
    </chartFormat>
    <chartFormat chart="2" format="2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BD43D70-49E9-49A6-9F20-9CA50CF285E4}" sourceName="age_group">
  <pivotTables>
    <pivotTable tabId="2" name="health consious trend"/>
    <pivotTable tabId="2" name="coffee consume vs spending"/>
    <pivotTable tabId="2" name="consume location"/>
    <pivotTable tabId="2" name="favourite coffeetype"/>
    <pivotTable tabId="2" name="metro vs teir trend"/>
    <pivotTable tabId="2" name="popular coffeebrand"/>
    <pivotTable tabId="2" name="preferred time"/>
    <pivotTable tabId="2" name="Statewise coffee expenses"/>
  </pivotTables>
  <data>
    <tabular pivotCacheId="1333876835">
      <items count="5">
        <i x="1" s="1"/>
        <i x="2"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58F6B3C-6DFF-4D84-AC36-1813381C9E3D}" sourceName="gender">
  <pivotTables>
    <pivotTable tabId="2" name="metro vs teir trend"/>
    <pivotTable tabId="2" name="coffee consume vs spending"/>
    <pivotTable tabId="2" name="consume location"/>
    <pivotTable tabId="2" name="favourite coffeetype"/>
    <pivotTable tabId="2" name="health consious trend"/>
    <pivotTable tabId="2" name="popular coffeebrand"/>
    <pivotTable tabId="2" name="preferred time"/>
    <pivotTable tabId="2" name="Statewise coffee expenses"/>
  </pivotTables>
  <data>
    <tabular pivotCacheId="1333876835" showMissing="0" crossFilter="showItemsWithNoData">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brand" xr10:uid="{AA1DFD81-51EA-419E-8B2B-FDB56189F97C}" sourceName="preferred_brand">
  <pivotTables>
    <pivotTable tabId="2" name="metro vs teir trend"/>
    <pivotTable tabId="2" name="coffee consume vs spending"/>
    <pivotTable tabId="2" name="consume location"/>
    <pivotTable tabId="2" name="favourite coffeetype"/>
    <pivotTable tabId="2" name="health consious trend"/>
    <pivotTable tabId="2" name="popular coffeebrand"/>
    <pivotTable tabId="2" name="preferred time"/>
    <pivotTable tabId="2" name="Statewise coffee expenses"/>
  </pivotTables>
  <data>
    <tabular pivotCacheId="1333876835">
      <items count="6">
        <i x="2" s="1"/>
        <i x="0" s="1"/>
        <i x="3" s="1"/>
        <i x="1"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umption_frequency" xr10:uid="{DFBD4E00-9C2F-43C6-8216-E2923B00F4C5}" sourceName="consumption_frequency">
  <pivotTables>
    <pivotTable tabId="2" name="metro vs teir trend"/>
    <pivotTable tabId="2" name="coffee consume vs spending"/>
    <pivotTable tabId="2" name="consume location"/>
    <pivotTable tabId="2" name="favourite coffeetype"/>
    <pivotTable tabId="2" name="health consious trend"/>
    <pivotTable tabId="2" name="popular coffeebrand"/>
    <pivotTable tabId="2" name="preferred time"/>
    <pivotTable tabId="2" name="Statewise coffee expenses"/>
  </pivotTables>
  <data>
    <tabular pivotCacheId="1333876835">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CA8C7DF1-D309-4711-9F2E-F1DA1CBD8918}" sourceName="city_tier">
  <pivotTables>
    <pivotTable tabId="2" name="metro vs teir trend"/>
    <pivotTable tabId="2" name="coffee consume vs spending"/>
    <pivotTable tabId="2" name="consume location"/>
    <pivotTable tabId="2" name="favourite coffeetype"/>
    <pivotTable tabId="2" name="health consious trend"/>
    <pivotTable tabId="2" name="popular coffeebrand"/>
    <pivotTable tabId="2" name="preferred time"/>
    <pivotTable tabId="2" name="Statewise coffee expenses"/>
  </pivotTables>
  <data>
    <tabular pivotCacheId="133387683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CE3B05E1-DD83-49F1-B2ED-E0CB21615F88}" cache="Slicer_age_group" caption="age_group" rowHeight="241300"/>
  <slicer name="gender" xr10:uid="{6563414D-46AE-4C1C-A1A5-534A5DA2CAE5}" cache="Slicer_gender" caption="gender" rowHeight="241300"/>
  <slicer name="preferred_brand" xr10:uid="{9BBD0244-EBDF-467F-AEC1-CD7E7612F52B}" cache="Slicer_preferred_brand" caption="preferred_brand" rowHeight="241300"/>
  <slicer name="consumption_frequency" xr10:uid="{20165F6F-5345-4191-AB55-6AE40011F02A}" cache="Slicer_consumption_frequency" caption="consumption_frequency" rowHeight="241300"/>
  <slicer name="city_tier" xr10:uid="{47AD11D3-72F1-4BC9-9128-F90DCBBACD44}" cache="Slicer_city_tier" caption="city_ti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2D206550-6E46-43DB-AB3A-5EA7E70131D6}" cache="Slicer_age_group" caption="AGE" columnCount="2" style="Slicer Style 2 3" rowHeight="274320"/>
  <slicer name="gender 1" xr10:uid="{0A318251-AE49-4A15-B58A-55BCEA2FD62B}" cache="Slicer_gender" caption="GENDER" columnCount="2" style="Slicer Style 2 3" rowHeight="274320"/>
  <slicer name="preferred_brand 1" xr10:uid="{F9FDAD04-12F9-4C5C-B81F-B9CCAB326D9C}" cache="Slicer_preferred_brand" caption="BRAND" style="Slicer Style 2 3" rowHeight="241300"/>
  <slicer name="consumption_frequency 1" xr10:uid="{2774DD63-6184-4E84-B984-ECD9D5EBD4B8}" cache="Slicer_consumption_frequency" caption="FREQUENCY" columnCount="2" style="Slicer Style 2 3" rowHeight="274320"/>
  <slicer name="city_tier 1" xr10:uid="{3DFF3D4A-FFB9-4625-AFEC-44FB35E81C3F}" cache="Slicer_city_tier" caption="TIER" columnCount="2" style="Slicer Style 2 3"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1001" totalsRowShown="0">
  <autoFilter ref="A1:T1001" xr:uid="{00000000-0009-0000-0100-000001000000}"/>
  <tableColumns count="20">
    <tableColumn id="1" xr3:uid="{00000000-0010-0000-0000-000001000000}" name="record_id" dataDxfId="4"/>
    <tableColumn id="2" xr3:uid="{00000000-0010-0000-0000-000002000000}" name="customer_id" dataDxfId="3"/>
    <tableColumn id="3" xr3:uid="{00000000-0010-0000-0000-000003000000}" name="age_group"/>
    <tableColumn id="4" xr3:uid="{00000000-0010-0000-0000-000004000000}" name="gender"/>
    <tableColumn id="5" xr3:uid="{00000000-0010-0000-0000-000005000000}" name="city"/>
    <tableColumn id="6" xr3:uid="{00000000-0010-0000-0000-000006000000}" name="state"/>
    <tableColumn id="7" xr3:uid="{00000000-0010-0000-0000-000007000000}" name="occupation"/>
    <tableColumn id="8" xr3:uid="{00000000-0010-0000-0000-000008000000}" name="monthly_income_range"/>
    <tableColumn id="9" xr3:uid="{00000000-0010-0000-0000-000009000000}" name="preferred_coffee_type"/>
    <tableColumn id="10" xr3:uid="{00000000-0010-0000-0000-00000A000000}" name="coffee_form"/>
    <tableColumn id="11" xr3:uid="{00000000-0010-0000-0000-00000B000000}" name="cups_per_day" dataDxfId="2">
      <calculatedColumnFormula>IF(R2="Morning",2,IF(R2="Night",2,IF(R2="Evening",1,0.5)))
*
IF(I2="Espresso",0.75,IF(I2="Cold Brew",1.25,IF(I2="Filter Coffee",1.2,IF(I2="Instant Coffee",1,1.1))))</calculatedColumnFormula>
    </tableColumn>
    <tableColumn id="12" xr3:uid="{00000000-0010-0000-0000-00000C000000}" name="consumption_frequency"/>
    <tableColumn id="21" xr3:uid="{E6886E1D-2FF5-41DA-BEBF-6818693C9773}" name="cafa visits perweek" dataDxfId="1">
      <calculatedColumnFormula>IF(L2="daily",7,IF(L2="weekly",3,1))</calculatedColumnFormula>
    </tableColumn>
    <tableColumn id="13" xr3:uid="{00000000-0010-0000-0000-00000D000000}" name="primary_consumption_location"/>
    <tableColumn id="14" xr3:uid="{00000000-0010-0000-0000-00000E000000}" name="preferred_brand"/>
    <tableColumn id="15" xr3:uid="{00000000-0010-0000-0000-00000F000000}" name="average_spend_per_month_inr" dataDxfId="0"/>
    <tableColumn id="16" xr3:uid="{00000000-0010-0000-0000-000010000000}" name="purchase_channel"/>
    <tableColumn id="17" xr3:uid="{00000000-0010-0000-0000-000011000000}" name="time_of_day_preference"/>
    <tableColumn id="18" xr3:uid="{00000000-0010-0000-0000-000012000000}" name="health_preference"/>
    <tableColumn id="19" xr3:uid="{00000000-0010-0000-0000-000013000000}" name="city_t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3"/>
  <sheetViews>
    <sheetView topLeftCell="E1" zoomScale="90" zoomScaleNormal="109" workbookViewId="0">
      <selection activeCell="P15" sqref="P15"/>
    </sheetView>
  </sheetViews>
  <sheetFormatPr defaultRowHeight="15" x14ac:dyDescent="0.25"/>
  <cols>
    <col min="1" max="1" width="16" bestFit="1" customWidth="1"/>
    <col min="2" max="2" width="34.7109375" bestFit="1" customWidth="1"/>
    <col min="3" max="3" width="7.28515625" bestFit="1" customWidth="1"/>
    <col min="4" max="4" width="10.140625" bestFit="1" customWidth="1"/>
    <col min="5" max="5" width="6.28515625" bestFit="1" customWidth="1"/>
    <col min="6" max="6" width="11.28515625" bestFit="1" customWidth="1"/>
  </cols>
  <sheetData>
    <row r="1" spans="1:21" x14ac:dyDescent="0.25">
      <c r="A1" s="11" t="s">
        <v>105</v>
      </c>
      <c r="B1" s="11"/>
    </row>
    <row r="2" spans="1:21" x14ac:dyDescent="0.25">
      <c r="A2" s="11"/>
      <c r="B2" s="11"/>
    </row>
    <row r="3" spans="1:21" x14ac:dyDescent="0.25">
      <c r="A3" s="3" t="s">
        <v>109</v>
      </c>
      <c r="B3" t="s">
        <v>110</v>
      </c>
    </row>
    <row r="4" spans="1:21" x14ac:dyDescent="0.25">
      <c r="A4" s="4" t="s">
        <v>85</v>
      </c>
      <c r="B4" s="5">
        <v>52964</v>
      </c>
      <c r="T4" t="s">
        <v>136</v>
      </c>
      <c r="U4" t="s">
        <v>137</v>
      </c>
    </row>
    <row r="5" spans="1:21" x14ac:dyDescent="0.25">
      <c r="A5" s="4" t="s">
        <v>44</v>
      </c>
      <c r="B5" s="5">
        <v>51759</v>
      </c>
      <c r="T5" s="4" t="str">
        <f>A4</f>
        <v>Andhra Pradesh</v>
      </c>
      <c r="U5" s="5">
        <f>B4</f>
        <v>52964</v>
      </c>
    </row>
    <row r="6" spans="1:21" x14ac:dyDescent="0.25">
      <c r="A6" s="4" t="s">
        <v>90</v>
      </c>
      <c r="B6" s="5">
        <v>52988</v>
      </c>
      <c r="T6" s="4" t="str">
        <f t="shared" ref="T6:T15" si="0">A5</f>
        <v>Delhi</v>
      </c>
      <c r="U6" s="5">
        <f t="shared" ref="U6:U15" si="1">B5</f>
        <v>51759</v>
      </c>
    </row>
    <row r="7" spans="1:21" x14ac:dyDescent="0.25">
      <c r="A7" s="4" t="s">
        <v>21</v>
      </c>
      <c r="B7" s="5">
        <v>95822</v>
      </c>
      <c r="T7" s="4" t="str">
        <f t="shared" si="0"/>
        <v>Gujarat</v>
      </c>
      <c r="U7" s="5">
        <f t="shared" si="1"/>
        <v>52988</v>
      </c>
    </row>
    <row r="8" spans="1:21" x14ac:dyDescent="0.25">
      <c r="A8" s="4" t="s">
        <v>88</v>
      </c>
      <c r="B8" s="5">
        <v>55926</v>
      </c>
      <c r="T8" s="4" t="str">
        <f t="shared" si="0"/>
        <v>Karnataka</v>
      </c>
      <c r="U8" s="5">
        <f t="shared" si="1"/>
        <v>95822</v>
      </c>
    </row>
    <row r="9" spans="1:21" x14ac:dyDescent="0.25">
      <c r="A9" s="4" t="s">
        <v>100</v>
      </c>
      <c r="B9" s="5">
        <v>40072</v>
      </c>
      <c r="T9" s="4" t="str">
        <f t="shared" si="0"/>
        <v>Kerala</v>
      </c>
      <c r="U9" s="5">
        <f t="shared" si="1"/>
        <v>55926</v>
      </c>
    </row>
    <row r="10" spans="1:21" x14ac:dyDescent="0.25">
      <c r="A10" s="4" t="s">
        <v>62</v>
      </c>
      <c r="B10" s="5">
        <v>149035</v>
      </c>
      <c r="T10" s="4" t="str">
        <f t="shared" si="0"/>
        <v>Madhya Pradesh</v>
      </c>
      <c r="U10" s="5">
        <f t="shared" si="1"/>
        <v>40072</v>
      </c>
    </row>
    <row r="11" spans="1:21" x14ac:dyDescent="0.25">
      <c r="A11" s="4" t="s">
        <v>54</v>
      </c>
      <c r="B11" s="5">
        <v>43759</v>
      </c>
      <c r="T11" s="4" t="str">
        <f t="shared" si="0"/>
        <v>Maharashtra</v>
      </c>
      <c r="U11" s="5">
        <f t="shared" si="1"/>
        <v>149035</v>
      </c>
    </row>
    <row r="12" spans="1:21" x14ac:dyDescent="0.25">
      <c r="A12" s="4" t="s">
        <v>80</v>
      </c>
      <c r="B12" s="5">
        <v>113223</v>
      </c>
      <c r="T12" s="4" t="str">
        <f t="shared" si="0"/>
        <v>Rajasthan</v>
      </c>
      <c r="U12" s="5">
        <f t="shared" si="1"/>
        <v>43759</v>
      </c>
    </row>
    <row r="13" spans="1:21" x14ac:dyDescent="0.25">
      <c r="A13" s="4" t="s">
        <v>35</v>
      </c>
      <c r="B13" s="5">
        <v>46660</v>
      </c>
      <c r="T13" s="4" t="str">
        <f t="shared" si="0"/>
        <v>Tamil Nadu</v>
      </c>
      <c r="U13" s="5">
        <f t="shared" si="1"/>
        <v>113223</v>
      </c>
    </row>
    <row r="14" spans="1:21" x14ac:dyDescent="0.25">
      <c r="A14" s="4" t="s">
        <v>77</v>
      </c>
      <c r="B14" s="5">
        <v>39715</v>
      </c>
      <c r="T14" s="4" t="str">
        <f t="shared" si="0"/>
        <v>Telangana</v>
      </c>
      <c r="U14" s="5">
        <f t="shared" si="1"/>
        <v>46660</v>
      </c>
    </row>
    <row r="15" spans="1:21" x14ac:dyDescent="0.25">
      <c r="A15" s="4" t="s">
        <v>107</v>
      </c>
      <c r="B15" s="5">
        <v>741923</v>
      </c>
      <c r="T15" s="4" t="str">
        <f t="shared" si="0"/>
        <v>West Bengal</v>
      </c>
      <c r="U15" s="5">
        <f t="shared" si="1"/>
        <v>39715</v>
      </c>
    </row>
    <row r="22" spans="1:19" x14ac:dyDescent="0.25">
      <c r="A22" s="9" t="s">
        <v>113</v>
      </c>
      <c r="B22" s="9"/>
      <c r="C22" s="9"/>
    </row>
    <row r="23" spans="1:19" x14ac:dyDescent="0.25">
      <c r="A23" s="9"/>
      <c r="B23" s="9"/>
      <c r="C23" s="9"/>
    </row>
    <row r="24" spans="1:19" x14ac:dyDescent="0.25">
      <c r="A24" s="9"/>
      <c r="B24" s="9"/>
      <c r="C24" s="9"/>
    </row>
    <row r="25" spans="1:19" x14ac:dyDescent="0.25">
      <c r="A25" s="9"/>
      <c r="B25" s="9"/>
      <c r="C25" s="9"/>
    </row>
    <row r="26" spans="1:19" x14ac:dyDescent="0.25">
      <c r="A26" s="3" t="s">
        <v>112</v>
      </c>
      <c r="B26" t="s">
        <v>111</v>
      </c>
      <c r="C26" t="s">
        <v>108</v>
      </c>
    </row>
    <row r="27" spans="1:19" x14ac:dyDescent="0.25">
      <c r="A27" s="4" t="s">
        <v>63</v>
      </c>
      <c r="B27" s="1">
        <v>1.5775773195876293</v>
      </c>
      <c r="C27" s="12">
        <v>73150</v>
      </c>
      <c r="R27" s="4"/>
      <c r="S27" s="1"/>
    </row>
    <row r="28" spans="1:19" x14ac:dyDescent="0.25">
      <c r="A28" s="4" t="s">
        <v>70</v>
      </c>
      <c r="B28" s="1">
        <v>1.5916666666666668</v>
      </c>
      <c r="C28" s="12">
        <v>64608</v>
      </c>
      <c r="R28" s="4"/>
      <c r="S28" s="1"/>
    </row>
    <row r="29" spans="1:19" x14ac:dyDescent="0.25">
      <c r="A29" s="4" t="s">
        <v>78</v>
      </c>
      <c r="B29" s="1">
        <v>1.5551470588235294</v>
      </c>
      <c r="C29" s="12">
        <v>80132</v>
      </c>
      <c r="R29" s="4"/>
      <c r="S29" s="1"/>
    </row>
    <row r="30" spans="1:19" x14ac:dyDescent="0.25">
      <c r="A30" s="4" t="s">
        <v>36</v>
      </c>
      <c r="B30" s="1">
        <v>1.5914141414141409</v>
      </c>
      <c r="C30" s="12">
        <v>75984</v>
      </c>
      <c r="R30" s="4"/>
      <c r="S30" s="1"/>
    </row>
    <row r="31" spans="1:19" x14ac:dyDescent="0.25">
      <c r="A31" s="4" t="s">
        <v>81</v>
      </c>
      <c r="B31" s="1">
        <v>1.4545652173913046</v>
      </c>
      <c r="C31" s="12">
        <v>82311</v>
      </c>
      <c r="R31" s="4"/>
      <c r="S31" s="1"/>
    </row>
    <row r="32" spans="1:19" x14ac:dyDescent="0.25">
      <c r="A32" s="4" t="s">
        <v>98</v>
      </c>
      <c r="B32" s="1">
        <v>1.5120879120879123</v>
      </c>
      <c r="C32" s="12">
        <v>67500</v>
      </c>
      <c r="R32" s="4"/>
      <c r="S32" s="1"/>
    </row>
    <row r="33" spans="1:19" x14ac:dyDescent="0.25">
      <c r="A33" s="4" t="s">
        <v>55</v>
      </c>
      <c r="B33" s="1">
        <v>1.55530303030303</v>
      </c>
      <c r="C33" s="12">
        <v>68151</v>
      </c>
      <c r="R33" s="4"/>
      <c r="S33" s="1"/>
    </row>
    <row r="34" spans="1:19" x14ac:dyDescent="0.25">
      <c r="A34" s="4" t="s">
        <v>45</v>
      </c>
      <c r="B34" s="1">
        <v>1.58515625</v>
      </c>
      <c r="C34" s="12">
        <v>71881</v>
      </c>
      <c r="R34" s="4"/>
      <c r="S34" s="1"/>
    </row>
    <row r="35" spans="1:19" x14ac:dyDescent="0.25">
      <c r="A35" s="4" t="s">
        <v>92</v>
      </c>
      <c r="B35" s="1">
        <v>1.5017500000000004</v>
      </c>
      <c r="C35" s="12">
        <v>79751</v>
      </c>
      <c r="R35" s="4"/>
      <c r="S35" s="1"/>
    </row>
    <row r="36" spans="1:19" x14ac:dyDescent="0.25">
      <c r="A36" s="4" t="s">
        <v>22</v>
      </c>
      <c r="B36" s="1">
        <v>1.3870370370370368</v>
      </c>
      <c r="C36" s="12">
        <v>78455</v>
      </c>
      <c r="R36" s="4"/>
      <c r="S36" s="1"/>
    </row>
    <row r="37" spans="1:19" x14ac:dyDescent="0.25">
      <c r="A37" s="4" t="s">
        <v>107</v>
      </c>
      <c r="B37" s="1">
        <v>1.5282250000000042</v>
      </c>
      <c r="C37" s="12">
        <v>741923</v>
      </c>
    </row>
    <row r="43" spans="1:19" ht="15" customHeight="1" x14ac:dyDescent="0.25">
      <c r="A43" s="11" t="s">
        <v>114</v>
      </c>
      <c r="B43" s="11"/>
      <c r="C43" s="7"/>
    </row>
    <row r="44" spans="1:19" ht="15" customHeight="1" x14ac:dyDescent="0.25">
      <c r="A44" s="11"/>
      <c r="B44" s="11"/>
      <c r="C44" s="7"/>
    </row>
    <row r="45" spans="1:19" x14ac:dyDescent="0.25">
      <c r="A45" s="3" t="s">
        <v>106</v>
      </c>
      <c r="B45" t="s">
        <v>118</v>
      </c>
      <c r="D45" t="s">
        <v>128</v>
      </c>
      <c r="E45" t="s">
        <v>129</v>
      </c>
      <c r="F45" t="s">
        <v>130</v>
      </c>
      <c r="G45" t="s">
        <v>131</v>
      </c>
      <c r="H45" t="s">
        <v>132</v>
      </c>
      <c r="I45" t="s">
        <v>133</v>
      </c>
      <c r="J45" t="s">
        <v>134</v>
      </c>
      <c r="K45" t="s">
        <v>135</v>
      </c>
    </row>
    <row r="46" spans="1:19" x14ac:dyDescent="0.25">
      <c r="A46" s="4" t="s">
        <v>24</v>
      </c>
      <c r="B46" s="12">
        <v>211</v>
      </c>
      <c r="D46" t="str">
        <f>A46</f>
        <v>Filter Coffee</v>
      </c>
      <c r="E46">
        <f>B46</f>
        <v>211</v>
      </c>
      <c r="F46">
        <f>_xlfn.RANK.EQ(E46,$E$46:$E$53,0)</f>
        <v>1</v>
      </c>
      <c r="G46">
        <f>IF($F46=1,$E46,NA())</f>
        <v>211</v>
      </c>
      <c r="H46" t="e">
        <f>IF($F46=2,$E46,NA())</f>
        <v>#N/A</v>
      </c>
      <c r="I46" t="e">
        <f>IF($F46=3,$E46,NA())</f>
        <v>#N/A</v>
      </c>
      <c r="J46" t="e">
        <f>IF($F46=4,$E46,NA())</f>
        <v>#N/A</v>
      </c>
      <c r="K46" t="e">
        <f>IF($F46&gt;4,$E46,NA())</f>
        <v>#N/A</v>
      </c>
    </row>
    <row r="47" spans="1:19" x14ac:dyDescent="0.25">
      <c r="A47" s="4" t="s">
        <v>47</v>
      </c>
      <c r="B47" s="12">
        <v>186</v>
      </c>
      <c r="D47" t="str">
        <f>A47</f>
        <v>Cold Brew</v>
      </c>
      <c r="E47">
        <f t="shared" ref="E47:E53" si="2">B47</f>
        <v>186</v>
      </c>
      <c r="F47">
        <f t="shared" ref="F47:F53" si="3">_xlfn.RANK.EQ(E47,$E$46:$E$53,0)</f>
        <v>2</v>
      </c>
      <c r="G47" t="e">
        <f t="shared" ref="G47:G53" si="4">IF($F47=1,$E47,NA())</f>
        <v>#N/A</v>
      </c>
      <c r="H47">
        <f t="shared" ref="H47:H53" si="5">IF($F47=2,$E47,NA())</f>
        <v>186</v>
      </c>
      <c r="I47" t="e">
        <f t="shared" ref="I47:I53" si="6">IF($F47=3,$E47,NA())</f>
        <v>#N/A</v>
      </c>
      <c r="J47" t="e">
        <f t="shared" ref="J47:J53" si="7">IF($F47=4,$E47,NA())</f>
        <v>#N/A</v>
      </c>
      <c r="K47" t="e">
        <f t="shared" ref="K47:K53" si="8">IF($F47&gt;4,$E47,NA())</f>
        <v>#N/A</v>
      </c>
    </row>
    <row r="48" spans="1:19" x14ac:dyDescent="0.25">
      <c r="A48" s="4" t="s">
        <v>83</v>
      </c>
      <c r="B48" s="12">
        <v>103</v>
      </c>
      <c r="D48" t="str">
        <f>A48</f>
        <v>Mocha</v>
      </c>
      <c r="E48">
        <f t="shared" si="2"/>
        <v>103</v>
      </c>
      <c r="F48">
        <f t="shared" si="3"/>
        <v>3</v>
      </c>
      <c r="G48" t="e">
        <f t="shared" si="4"/>
        <v>#N/A</v>
      </c>
      <c r="H48" t="e">
        <f t="shared" si="5"/>
        <v>#N/A</v>
      </c>
      <c r="I48">
        <f t="shared" si="6"/>
        <v>103</v>
      </c>
      <c r="J48" t="e">
        <f t="shared" si="7"/>
        <v>#N/A</v>
      </c>
      <c r="K48" t="e">
        <f t="shared" si="8"/>
        <v>#N/A</v>
      </c>
    </row>
    <row r="49" spans="1:11" x14ac:dyDescent="0.25">
      <c r="A49" s="4" t="s">
        <v>94</v>
      </c>
      <c r="B49" s="12">
        <v>103</v>
      </c>
      <c r="D49" t="str">
        <f t="shared" ref="D49:D53" si="9">A49</f>
        <v>Espresso</v>
      </c>
      <c r="E49">
        <f t="shared" si="2"/>
        <v>103</v>
      </c>
      <c r="F49">
        <f t="shared" si="3"/>
        <v>3</v>
      </c>
      <c r="G49" t="e">
        <f t="shared" si="4"/>
        <v>#N/A</v>
      </c>
      <c r="H49" t="e">
        <f t="shared" si="5"/>
        <v>#N/A</v>
      </c>
      <c r="I49">
        <f t="shared" si="6"/>
        <v>103</v>
      </c>
      <c r="J49" t="e">
        <f t="shared" si="7"/>
        <v>#N/A</v>
      </c>
      <c r="K49" t="e">
        <f t="shared" si="8"/>
        <v>#N/A</v>
      </c>
    </row>
    <row r="50" spans="1:11" x14ac:dyDescent="0.25">
      <c r="A50" s="4" t="s">
        <v>67</v>
      </c>
      <c r="B50" s="12">
        <v>102</v>
      </c>
      <c r="D50" t="str">
        <f t="shared" si="9"/>
        <v>Latte</v>
      </c>
      <c r="E50">
        <f t="shared" si="2"/>
        <v>102</v>
      </c>
      <c r="F50">
        <f t="shared" si="3"/>
        <v>5</v>
      </c>
      <c r="G50" t="e">
        <f t="shared" si="4"/>
        <v>#N/A</v>
      </c>
      <c r="H50" t="e">
        <f t="shared" si="5"/>
        <v>#N/A</v>
      </c>
      <c r="I50" t="e">
        <f t="shared" si="6"/>
        <v>#N/A</v>
      </c>
      <c r="J50" t="e">
        <f t="shared" si="7"/>
        <v>#N/A</v>
      </c>
      <c r="K50">
        <f t="shared" si="8"/>
        <v>102</v>
      </c>
    </row>
    <row r="51" spans="1:11" x14ac:dyDescent="0.25">
      <c r="A51" s="4" t="s">
        <v>91</v>
      </c>
      <c r="B51" s="12">
        <v>100</v>
      </c>
      <c r="D51" t="str">
        <f t="shared" si="9"/>
        <v>Americano</v>
      </c>
      <c r="E51">
        <f t="shared" si="2"/>
        <v>100</v>
      </c>
      <c r="F51">
        <f t="shared" si="3"/>
        <v>6</v>
      </c>
      <c r="G51" t="e">
        <f t="shared" si="4"/>
        <v>#N/A</v>
      </c>
      <c r="H51" t="e">
        <f t="shared" si="5"/>
        <v>#N/A</v>
      </c>
      <c r="I51" t="e">
        <f t="shared" si="6"/>
        <v>#N/A</v>
      </c>
      <c r="J51" t="e">
        <f t="shared" si="7"/>
        <v>#N/A</v>
      </c>
      <c r="K51">
        <f t="shared" si="8"/>
        <v>100</v>
      </c>
    </row>
    <row r="52" spans="1:11" x14ac:dyDescent="0.25">
      <c r="A52" s="4" t="s">
        <v>38</v>
      </c>
      <c r="B52" s="12">
        <v>99</v>
      </c>
      <c r="D52" t="str">
        <f t="shared" si="9"/>
        <v>Instant Coffee</v>
      </c>
      <c r="E52">
        <f t="shared" si="2"/>
        <v>99</v>
      </c>
      <c r="F52">
        <f t="shared" si="3"/>
        <v>7</v>
      </c>
      <c r="G52" t="e">
        <f t="shared" si="4"/>
        <v>#N/A</v>
      </c>
      <c r="H52" t="e">
        <f t="shared" si="5"/>
        <v>#N/A</v>
      </c>
      <c r="I52" t="e">
        <f t="shared" si="6"/>
        <v>#N/A</v>
      </c>
      <c r="J52" t="e">
        <f t="shared" si="7"/>
        <v>#N/A</v>
      </c>
      <c r="K52">
        <f t="shared" si="8"/>
        <v>99</v>
      </c>
    </row>
    <row r="53" spans="1:11" x14ac:dyDescent="0.25">
      <c r="A53" s="4" t="s">
        <v>56</v>
      </c>
      <c r="B53" s="12">
        <v>96</v>
      </c>
      <c r="D53" t="str">
        <f t="shared" si="9"/>
        <v>Cappuccino</v>
      </c>
      <c r="E53">
        <f t="shared" si="2"/>
        <v>96</v>
      </c>
      <c r="F53">
        <f t="shared" si="3"/>
        <v>8</v>
      </c>
      <c r="G53" t="e">
        <f t="shared" si="4"/>
        <v>#N/A</v>
      </c>
      <c r="H53" t="e">
        <f t="shared" si="5"/>
        <v>#N/A</v>
      </c>
      <c r="I53" t="e">
        <f t="shared" si="6"/>
        <v>#N/A</v>
      </c>
      <c r="J53" t="e">
        <f t="shared" si="7"/>
        <v>#N/A</v>
      </c>
      <c r="K53">
        <f t="shared" si="8"/>
        <v>96</v>
      </c>
    </row>
    <row r="61" spans="1:11" ht="15" customHeight="1" x14ac:dyDescent="0.25">
      <c r="A61" s="11" t="s">
        <v>116</v>
      </c>
      <c r="B61" s="11"/>
      <c r="C61" s="7"/>
    </row>
    <row r="62" spans="1:11" ht="15" customHeight="1" x14ac:dyDescent="0.25">
      <c r="A62" s="11"/>
      <c r="B62" s="11"/>
      <c r="C62" s="7"/>
    </row>
    <row r="63" spans="1:11" x14ac:dyDescent="0.25">
      <c r="A63" s="3" t="s">
        <v>106</v>
      </c>
      <c r="B63" t="s">
        <v>118</v>
      </c>
    </row>
    <row r="64" spans="1:11" x14ac:dyDescent="0.25">
      <c r="A64" s="4" t="s">
        <v>72</v>
      </c>
      <c r="B64" s="12">
        <v>86</v>
      </c>
    </row>
    <row r="65" spans="1:3" x14ac:dyDescent="0.25">
      <c r="A65" s="4" t="s">
        <v>65</v>
      </c>
      <c r="B65" s="12">
        <v>99</v>
      </c>
    </row>
    <row r="66" spans="1:3" x14ac:dyDescent="0.25">
      <c r="A66" s="4" t="s">
        <v>102</v>
      </c>
      <c r="B66" s="12">
        <v>102</v>
      </c>
    </row>
    <row r="67" spans="1:3" x14ac:dyDescent="0.25">
      <c r="A67" s="4" t="s">
        <v>82</v>
      </c>
      <c r="B67" s="12">
        <v>110</v>
      </c>
    </row>
    <row r="68" spans="1:3" x14ac:dyDescent="0.25">
      <c r="A68" s="4" t="s">
        <v>28</v>
      </c>
      <c r="B68" s="12">
        <v>230</v>
      </c>
    </row>
    <row r="69" spans="1:3" x14ac:dyDescent="0.25">
      <c r="A69" s="4" t="s">
        <v>103</v>
      </c>
      <c r="B69" s="12">
        <v>373</v>
      </c>
    </row>
    <row r="75" spans="1:3" ht="15" customHeight="1" x14ac:dyDescent="0.25">
      <c r="A75" s="11" t="s">
        <v>119</v>
      </c>
      <c r="B75" s="11"/>
      <c r="C75" s="7"/>
    </row>
    <row r="76" spans="1:3" ht="15" customHeight="1" x14ac:dyDescent="0.25">
      <c r="A76" s="11"/>
      <c r="B76" s="11"/>
      <c r="C76" s="7"/>
    </row>
    <row r="77" spans="1:3" x14ac:dyDescent="0.25">
      <c r="A77" s="3" t="s">
        <v>106</v>
      </c>
      <c r="B77" t="s">
        <v>115</v>
      </c>
    </row>
    <row r="78" spans="1:3" x14ac:dyDescent="0.25">
      <c r="A78" s="4" t="s">
        <v>68</v>
      </c>
      <c r="B78" s="2">
        <v>140.82499999999976</v>
      </c>
    </row>
    <row r="79" spans="1:3" x14ac:dyDescent="0.25">
      <c r="A79" s="4" t="s">
        <v>42</v>
      </c>
      <c r="B79" s="2">
        <v>255.39999999999949</v>
      </c>
    </row>
    <row r="80" spans="1:3" x14ac:dyDescent="0.25">
      <c r="A80" s="4" t="s">
        <v>75</v>
      </c>
      <c r="B80" s="2">
        <v>534.19999999999891</v>
      </c>
    </row>
    <row r="81" spans="1:2" x14ac:dyDescent="0.25">
      <c r="A81" s="4" t="s">
        <v>30</v>
      </c>
      <c r="B81" s="2">
        <v>597.79999999999927</v>
      </c>
    </row>
    <row r="82" spans="1:2" x14ac:dyDescent="0.25">
      <c r="A82" s="4" t="s">
        <v>107</v>
      </c>
      <c r="B82" s="2">
        <v>1528.2249999999974</v>
      </c>
    </row>
    <row r="91" spans="1:2" x14ac:dyDescent="0.25">
      <c r="A91" s="11" t="s">
        <v>120</v>
      </c>
      <c r="B91" s="11"/>
    </row>
    <row r="92" spans="1:2" x14ac:dyDescent="0.25">
      <c r="A92" s="11"/>
      <c r="B92" s="11"/>
    </row>
    <row r="93" spans="1:2" x14ac:dyDescent="0.25">
      <c r="A93" s="3" t="s">
        <v>106</v>
      </c>
      <c r="B93" t="s">
        <v>118</v>
      </c>
    </row>
    <row r="94" spans="1:2" x14ac:dyDescent="0.25">
      <c r="A94" s="4" t="s">
        <v>104</v>
      </c>
      <c r="B94" s="12">
        <v>192</v>
      </c>
    </row>
    <row r="95" spans="1:2" x14ac:dyDescent="0.25">
      <c r="A95" s="4" t="s">
        <v>27</v>
      </c>
      <c r="B95" s="12">
        <v>482</v>
      </c>
    </row>
    <row r="96" spans="1:2" x14ac:dyDescent="0.25">
      <c r="A96" s="4" t="s">
        <v>40</v>
      </c>
      <c r="B96" s="12">
        <v>326</v>
      </c>
    </row>
    <row r="97" spans="1:2" x14ac:dyDescent="0.25">
      <c r="A97" s="4" t="s">
        <v>107</v>
      </c>
      <c r="B97" s="12">
        <v>1000</v>
      </c>
    </row>
    <row r="106" spans="1:2" ht="23.25" customHeight="1" x14ac:dyDescent="0.25">
      <c r="A106" s="9" t="s">
        <v>121</v>
      </c>
      <c r="B106" s="9"/>
    </row>
    <row r="107" spans="1:2" ht="15" customHeight="1" x14ac:dyDescent="0.25">
      <c r="A107" s="9"/>
      <c r="B107" s="9"/>
    </row>
    <row r="108" spans="1:2" ht="15" customHeight="1" x14ac:dyDescent="0.25">
      <c r="A108" s="10"/>
      <c r="B108" s="10"/>
    </row>
    <row r="109" spans="1:2" x14ac:dyDescent="0.25">
      <c r="A109" s="3" t="s">
        <v>106</v>
      </c>
      <c r="B109" t="s">
        <v>118</v>
      </c>
    </row>
    <row r="110" spans="1:2" x14ac:dyDescent="0.25">
      <c r="A110" s="4" t="s">
        <v>43</v>
      </c>
      <c r="B110" s="12">
        <v>391</v>
      </c>
    </row>
    <row r="111" spans="1:2" x14ac:dyDescent="0.25">
      <c r="A111" s="4" t="s">
        <v>59</v>
      </c>
      <c r="B111" s="12">
        <v>336</v>
      </c>
    </row>
    <row r="112" spans="1:2" x14ac:dyDescent="0.25">
      <c r="A112" s="4" t="s">
        <v>32</v>
      </c>
      <c r="B112" s="12">
        <v>273</v>
      </c>
    </row>
    <row r="113" spans="1:6" x14ac:dyDescent="0.25">
      <c r="A113" s="4" t="s">
        <v>107</v>
      </c>
      <c r="B113" s="12">
        <v>1000</v>
      </c>
    </row>
    <row r="122" spans="1:6" x14ac:dyDescent="0.25">
      <c r="A122" s="9" t="s">
        <v>127</v>
      </c>
      <c r="B122" s="9"/>
    </row>
    <row r="123" spans="1:6" x14ac:dyDescent="0.25">
      <c r="A123" s="9"/>
      <c r="B123" s="9"/>
    </row>
    <row r="124" spans="1:6" x14ac:dyDescent="0.25">
      <c r="A124" s="10"/>
      <c r="B124" s="10"/>
    </row>
    <row r="125" spans="1:6" x14ac:dyDescent="0.25">
      <c r="A125" s="3" t="s">
        <v>118</v>
      </c>
      <c r="B125" s="3" t="s">
        <v>122</v>
      </c>
    </row>
    <row r="126" spans="1:6" x14ac:dyDescent="0.25">
      <c r="A126" s="3" t="s">
        <v>106</v>
      </c>
      <c r="B126" t="s">
        <v>58</v>
      </c>
      <c r="C126" t="s">
        <v>69</v>
      </c>
      <c r="D126" t="s">
        <v>31</v>
      </c>
      <c r="E126" t="s">
        <v>50</v>
      </c>
      <c r="F126" t="s">
        <v>107</v>
      </c>
    </row>
    <row r="127" spans="1:6" x14ac:dyDescent="0.25">
      <c r="A127" s="4" t="s">
        <v>33</v>
      </c>
      <c r="B127" s="12">
        <v>59</v>
      </c>
      <c r="C127" s="12">
        <v>74</v>
      </c>
      <c r="D127" s="12">
        <v>65</v>
      </c>
      <c r="E127" s="12">
        <v>65</v>
      </c>
      <c r="F127" s="12">
        <v>263</v>
      </c>
    </row>
    <row r="128" spans="1:6" x14ac:dyDescent="0.25">
      <c r="A128" s="4" t="s">
        <v>51</v>
      </c>
      <c r="B128" s="12">
        <v>78</v>
      </c>
      <c r="C128" s="12">
        <v>72</v>
      </c>
      <c r="D128" s="12">
        <v>77</v>
      </c>
      <c r="E128" s="12">
        <v>61</v>
      </c>
      <c r="F128" s="12">
        <v>288</v>
      </c>
    </row>
    <row r="129" spans="1:6" x14ac:dyDescent="0.25">
      <c r="A129" s="4" t="s">
        <v>19</v>
      </c>
      <c r="B129" s="12">
        <v>54</v>
      </c>
      <c r="C129" s="12">
        <v>57</v>
      </c>
      <c r="D129" s="12">
        <v>54</v>
      </c>
      <c r="E129" s="12">
        <v>46</v>
      </c>
      <c r="F129" s="12">
        <v>211</v>
      </c>
    </row>
    <row r="130" spans="1:6" x14ac:dyDescent="0.25">
      <c r="A130" s="4" t="s">
        <v>60</v>
      </c>
      <c r="B130" s="12">
        <v>32</v>
      </c>
      <c r="C130" s="12">
        <v>36</v>
      </c>
      <c r="D130" s="12">
        <v>47</v>
      </c>
      <c r="E130" s="12">
        <v>35</v>
      </c>
      <c r="F130" s="12">
        <v>150</v>
      </c>
    </row>
    <row r="131" spans="1:6" x14ac:dyDescent="0.25">
      <c r="A131" s="4" t="s">
        <v>96</v>
      </c>
      <c r="B131" s="12">
        <v>23</v>
      </c>
      <c r="C131" s="12">
        <v>18</v>
      </c>
      <c r="D131" s="12">
        <v>18</v>
      </c>
      <c r="E131" s="12">
        <v>29</v>
      </c>
      <c r="F131" s="12">
        <v>88</v>
      </c>
    </row>
    <row r="132" spans="1:6" x14ac:dyDescent="0.25">
      <c r="A132" s="4" t="s">
        <v>107</v>
      </c>
      <c r="B132" s="12">
        <v>246</v>
      </c>
      <c r="C132" s="12">
        <v>257</v>
      </c>
      <c r="D132" s="12">
        <v>261</v>
      </c>
      <c r="E132" s="12">
        <v>236</v>
      </c>
      <c r="F132" s="12">
        <v>1000</v>
      </c>
    </row>
    <row r="141" spans="1:6" ht="28.5" x14ac:dyDescent="0.45">
      <c r="B141" s="8" t="s">
        <v>126</v>
      </c>
      <c r="C141" s="8"/>
      <c r="D141" s="8"/>
    </row>
    <row r="142" spans="1:6" x14ac:dyDescent="0.25">
      <c r="B142" t="s">
        <v>123</v>
      </c>
      <c r="C142" t="s">
        <v>124</v>
      </c>
      <c r="E142" t="s">
        <v>125</v>
      </c>
    </row>
    <row r="143" spans="1:6" x14ac:dyDescent="0.25">
      <c r="B143" t="str">
        <f>TEXT(B82,"#####")</f>
        <v>1528</v>
      </c>
      <c r="C143" t="str">
        <f>TEXT(B15,"₹#,##0")</f>
        <v>₹741,923</v>
      </c>
      <c r="E143" t="str">
        <f>IFERROR(A46 &amp; " (" &amp; TEXT(B46/SUM(B46:B53),"0%") &amp; ")","–")</f>
        <v>Filter Coffee (21%)</v>
      </c>
    </row>
  </sheetData>
  <mergeCells count="9">
    <mergeCell ref="B141:D141"/>
    <mergeCell ref="A106:B108"/>
    <mergeCell ref="A122:B124"/>
    <mergeCell ref="A91:B92"/>
    <mergeCell ref="A1:B2"/>
    <mergeCell ref="A22:C25"/>
    <mergeCell ref="A43:B44"/>
    <mergeCell ref="A61:B62"/>
    <mergeCell ref="A75:B76"/>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B7711-BBDE-481B-8092-2D910AB4ABDE}">
  <dimension ref="A1"/>
  <sheetViews>
    <sheetView tabSelected="1" zoomScale="67" zoomScaleNormal="67" workbookViewId="0">
      <selection activeCell="AF9" sqref="AF9"/>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1"/>
  <sheetViews>
    <sheetView workbookViewId="0">
      <selection activeCell="H19" sqref="H19"/>
    </sheetView>
  </sheetViews>
  <sheetFormatPr defaultRowHeight="15" x14ac:dyDescent="0.25"/>
  <cols>
    <col min="1" max="1" width="11.5703125" style="2" customWidth="1"/>
    <col min="2" max="2" width="14.140625" style="2" customWidth="1"/>
    <col min="3" max="3" width="12.42578125" customWidth="1"/>
    <col min="4" max="4" width="9.42578125" customWidth="1"/>
    <col min="7" max="7" width="12.85546875" customWidth="1"/>
    <col min="8" max="8" width="24.140625" customWidth="1"/>
    <col min="9" max="9" width="23.42578125" customWidth="1"/>
    <col min="10" max="10" width="14.140625" customWidth="1"/>
    <col min="11" max="11" width="15.28515625" customWidth="1"/>
    <col min="12" max="12" width="24.7109375" customWidth="1"/>
    <col min="13" max="13" width="16.85546875" customWidth="1"/>
    <col min="14" max="14" width="30.7109375" customWidth="1"/>
    <col min="15" max="15" width="17.85546875" customWidth="1"/>
    <col min="16" max="16" width="30.85546875" style="2" customWidth="1"/>
    <col min="17" max="17" width="19.140625" customWidth="1"/>
    <col min="18" max="18" width="25.140625" customWidth="1"/>
    <col min="19" max="19" width="19.7109375" customWidth="1"/>
    <col min="20" max="20" width="10.42578125" customWidth="1"/>
  </cols>
  <sheetData>
    <row r="1" spans="1:20" x14ac:dyDescent="0.25">
      <c r="A1" s="2" t="s">
        <v>0</v>
      </c>
      <c r="B1" s="2" t="s">
        <v>1</v>
      </c>
      <c r="C1" t="s">
        <v>2</v>
      </c>
      <c r="D1" t="s">
        <v>3</v>
      </c>
      <c r="E1" t="s">
        <v>4</v>
      </c>
      <c r="F1" t="s">
        <v>5</v>
      </c>
      <c r="G1" t="s">
        <v>6</v>
      </c>
      <c r="H1" t="s">
        <v>7</v>
      </c>
      <c r="I1" t="s">
        <v>8</v>
      </c>
      <c r="J1" t="s">
        <v>9</v>
      </c>
      <c r="K1" t="s">
        <v>10</v>
      </c>
      <c r="L1" t="s">
        <v>11</v>
      </c>
      <c r="M1" t="s">
        <v>117</v>
      </c>
      <c r="N1" t="s">
        <v>12</v>
      </c>
      <c r="O1" t="s">
        <v>13</v>
      </c>
      <c r="P1" s="2" t="s">
        <v>14</v>
      </c>
      <c r="Q1" t="s">
        <v>15</v>
      </c>
      <c r="R1" t="s">
        <v>16</v>
      </c>
      <c r="S1" t="s">
        <v>17</v>
      </c>
      <c r="T1" t="s">
        <v>18</v>
      </c>
    </row>
    <row r="2" spans="1:20" x14ac:dyDescent="0.25">
      <c r="A2" s="2">
        <v>1</v>
      </c>
      <c r="B2" s="2">
        <v>77022</v>
      </c>
      <c r="C2" t="s">
        <v>19</v>
      </c>
      <c r="D2" t="s">
        <v>52</v>
      </c>
      <c r="E2" t="s">
        <v>20</v>
      </c>
      <c r="F2" t="s">
        <v>21</v>
      </c>
      <c r="G2" t="s">
        <v>22</v>
      </c>
      <c r="H2" t="s">
        <v>23</v>
      </c>
      <c r="I2" t="s">
        <v>24</v>
      </c>
      <c r="J2" t="s">
        <v>25</v>
      </c>
      <c r="K2" s="6">
        <f>IF(R2="Morning",2,IF(R2="Night",2,IF(R2="Evening",1,0.5)))
*
IF(I2="Espresso",0.75,IF(I2="Cold Brew",1.25,IF(I2="Filter Coffee",1.2,IF(I2="Instant Coffee",1,1.1))))</f>
        <v>2.4</v>
      </c>
      <c r="L2" t="s">
        <v>26</v>
      </c>
      <c r="M2">
        <f t="shared" ref="M2:M65" si="0">IF(L2="daily",7,IF(L2="weekly",3,1))</f>
        <v>1</v>
      </c>
      <c r="N2" t="s">
        <v>27</v>
      </c>
      <c r="O2" t="s">
        <v>28</v>
      </c>
      <c r="P2" s="2">
        <v>785</v>
      </c>
      <c r="Q2" t="s">
        <v>29</v>
      </c>
      <c r="R2" t="s">
        <v>30</v>
      </c>
      <c r="S2" t="s">
        <v>31</v>
      </c>
      <c r="T2" t="s">
        <v>32</v>
      </c>
    </row>
    <row r="3" spans="1:20" x14ac:dyDescent="0.25">
      <c r="A3" s="2">
        <v>2</v>
      </c>
      <c r="B3" s="2">
        <v>41080</v>
      </c>
      <c r="C3" t="s">
        <v>33</v>
      </c>
      <c r="D3" t="s">
        <v>52</v>
      </c>
      <c r="E3" t="s">
        <v>34</v>
      </c>
      <c r="F3" t="s">
        <v>35</v>
      </c>
      <c r="G3" t="s">
        <v>36</v>
      </c>
      <c r="H3" t="s">
        <v>37</v>
      </c>
      <c r="I3" t="s">
        <v>38</v>
      </c>
      <c r="J3" t="s">
        <v>39</v>
      </c>
      <c r="K3" s="6">
        <f t="shared" ref="K3:K66" si="1">IF(R3="Morning",2,IF(R3="Night",2,IF(R3="Evening",1,0.5)))
*
IF(I3="Espresso",0.75,IF(I3="Cold Brew",1.25,IF(I3="Filter Coffee",1.2,IF(I3="Instant Coffee",1,1.1))))</f>
        <v>1</v>
      </c>
      <c r="L3" t="s">
        <v>26</v>
      </c>
      <c r="M3">
        <f t="shared" si="0"/>
        <v>1</v>
      </c>
      <c r="N3" t="s">
        <v>40</v>
      </c>
      <c r="O3" t="s">
        <v>103</v>
      </c>
      <c r="P3" s="2">
        <v>2994</v>
      </c>
      <c r="Q3" t="s">
        <v>41</v>
      </c>
      <c r="R3" t="s">
        <v>42</v>
      </c>
      <c r="S3" t="s">
        <v>31</v>
      </c>
      <c r="T3" t="s">
        <v>43</v>
      </c>
    </row>
    <row r="4" spans="1:20" x14ac:dyDescent="0.25">
      <c r="A4" s="2">
        <v>3</v>
      </c>
      <c r="B4" s="2">
        <v>67270</v>
      </c>
      <c r="C4" t="s">
        <v>33</v>
      </c>
      <c r="D4" t="s">
        <v>52</v>
      </c>
      <c r="E4" t="s">
        <v>44</v>
      </c>
      <c r="F4" t="s">
        <v>44</v>
      </c>
      <c r="G4" t="s">
        <v>45</v>
      </c>
      <c r="H4" t="s">
        <v>46</v>
      </c>
      <c r="I4" t="s">
        <v>47</v>
      </c>
      <c r="J4" t="s">
        <v>48</v>
      </c>
      <c r="K4" s="6">
        <f t="shared" si="1"/>
        <v>1.25</v>
      </c>
      <c r="L4" t="s">
        <v>49</v>
      </c>
      <c r="M4">
        <f t="shared" si="0"/>
        <v>3</v>
      </c>
      <c r="N4" t="s">
        <v>27</v>
      </c>
      <c r="O4" t="s">
        <v>103</v>
      </c>
      <c r="P4" s="2">
        <v>395</v>
      </c>
      <c r="Q4" t="s">
        <v>104</v>
      </c>
      <c r="R4" t="s">
        <v>42</v>
      </c>
      <c r="S4" t="s">
        <v>50</v>
      </c>
      <c r="T4" t="s">
        <v>43</v>
      </c>
    </row>
    <row r="5" spans="1:20" x14ac:dyDescent="0.25">
      <c r="A5" s="2">
        <v>4</v>
      </c>
      <c r="B5" s="2">
        <v>35267</v>
      </c>
      <c r="C5" t="s">
        <v>51</v>
      </c>
      <c r="D5" t="s">
        <v>52</v>
      </c>
      <c r="E5" t="s">
        <v>53</v>
      </c>
      <c r="F5" t="s">
        <v>54</v>
      </c>
      <c r="G5" t="s">
        <v>55</v>
      </c>
      <c r="H5" t="s">
        <v>23</v>
      </c>
      <c r="I5" t="s">
        <v>56</v>
      </c>
      <c r="J5" t="s">
        <v>57</v>
      </c>
      <c r="K5" s="6">
        <f t="shared" si="1"/>
        <v>2.2000000000000002</v>
      </c>
      <c r="L5" t="s">
        <v>26</v>
      </c>
      <c r="M5">
        <f t="shared" si="0"/>
        <v>1</v>
      </c>
      <c r="N5" t="s">
        <v>27</v>
      </c>
      <c r="O5" t="s">
        <v>103</v>
      </c>
      <c r="P5" s="2">
        <v>574</v>
      </c>
      <c r="Q5" t="s">
        <v>41</v>
      </c>
      <c r="R5" t="s">
        <v>30</v>
      </c>
      <c r="S5" t="s">
        <v>58</v>
      </c>
      <c r="T5" t="s">
        <v>59</v>
      </c>
    </row>
    <row r="6" spans="1:20" x14ac:dyDescent="0.25">
      <c r="A6" s="2">
        <v>5</v>
      </c>
      <c r="B6" s="2">
        <v>42618</v>
      </c>
      <c r="C6" t="s">
        <v>60</v>
      </c>
      <c r="D6" t="s">
        <v>52</v>
      </c>
      <c r="E6" t="s">
        <v>61</v>
      </c>
      <c r="F6" t="s">
        <v>62</v>
      </c>
      <c r="G6" t="s">
        <v>63</v>
      </c>
      <c r="H6" t="s">
        <v>37</v>
      </c>
      <c r="I6" t="s">
        <v>47</v>
      </c>
      <c r="J6" t="s">
        <v>57</v>
      </c>
      <c r="K6" s="6">
        <f t="shared" si="1"/>
        <v>2.5</v>
      </c>
      <c r="L6" t="s">
        <v>64</v>
      </c>
      <c r="M6">
        <f t="shared" si="0"/>
        <v>7</v>
      </c>
      <c r="N6" t="s">
        <v>27</v>
      </c>
      <c r="O6" t="s">
        <v>65</v>
      </c>
      <c r="P6" s="2">
        <v>1736</v>
      </c>
      <c r="Q6" t="s">
        <v>41</v>
      </c>
      <c r="R6" t="s">
        <v>30</v>
      </c>
      <c r="S6" t="s">
        <v>58</v>
      </c>
      <c r="T6" t="s">
        <v>59</v>
      </c>
    </row>
    <row r="7" spans="1:20" x14ac:dyDescent="0.25">
      <c r="A7" s="2">
        <v>6</v>
      </c>
      <c r="B7" s="2">
        <v>65220</v>
      </c>
      <c r="C7" t="s">
        <v>33</v>
      </c>
      <c r="D7" t="s">
        <v>66</v>
      </c>
      <c r="E7" t="s">
        <v>53</v>
      </c>
      <c r="F7" t="s">
        <v>54</v>
      </c>
      <c r="G7" t="s">
        <v>55</v>
      </c>
      <c r="H7" t="s">
        <v>46</v>
      </c>
      <c r="I7" t="s">
        <v>67</v>
      </c>
      <c r="J7" t="s">
        <v>57</v>
      </c>
      <c r="K7" s="6">
        <f t="shared" si="1"/>
        <v>0.55000000000000004</v>
      </c>
      <c r="L7" t="s">
        <v>49</v>
      </c>
      <c r="M7">
        <f t="shared" si="0"/>
        <v>3</v>
      </c>
      <c r="N7" t="s">
        <v>27</v>
      </c>
      <c r="O7" t="s">
        <v>103</v>
      </c>
      <c r="P7" s="2">
        <v>568</v>
      </c>
      <c r="Q7" t="s">
        <v>104</v>
      </c>
      <c r="R7" t="s">
        <v>68</v>
      </c>
      <c r="S7" t="s">
        <v>69</v>
      </c>
      <c r="T7" t="s">
        <v>59</v>
      </c>
    </row>
    <row r="8" spans="1:20" x14ac:dyDescent="0.25">
      <c r="A8" s="2">
        <v>7</v>
      </c>
      <c r="B8" s="2">
        <v>49309</v>
      </c>
      <c r="C8" t="s">
        <v>33</v>
      </c>
      <c r="D8" t="s">
        <v>66</v>
      </c>
      <c r="E8" t="s">
        <v>20</v>
      </c>
      <c r="F8" t="s">
        <v>21</v>
      </c>
      <c r="G8" t="s">
        <v>70</v>
      </c>
      <c r="H8" t="s">
        <v>71</v>
      </c>
      <c r="I8" t="s">
        <v>38</v>
      </c>
      <c r="J8" t="s">
        <v>39</v>
      </c>
      <c r="K8" s="6">
        <f t="shared" si="1"/>
        <v>0.5</v>
      </c>
      <c r="L8" t="s">
        <v>64</v>
      </c>
      <c r="M8">
        <f t="shared" si="0"/>
        <v>7</v>
      </c>
      <c r="N8" t="s">
        <v>104</v>
      </c>
      <c r="O8" t="s">
        <v>72</v>
      </c>
      <c r="P8" s="2">
        <v>312</v>
      </c>
      <c r="Q8" t="s">
        <v>29</v>
      </c>
      <c r="R8" t="s">
        <v>68</v>
      </c>
      <c r="S8" t="s">
        <v>31</v>
      </c>
      <c r="T8" t="s">
        <v>32</v>
      </c>
    </row>
    <row r="9" spans="1:20" x14ac:dyDescent="0.25">
      <c r="A9" s="2">
        <v>8</v>
      </c>
      <c r="B9" s="2">
        <v>66586</v>
      </c>
      <c r="C9" t="s">
        <v>51</v>
      </c>
      <c r="D9" t="s">
        <v>52</v>
      </c>
      <c r="E9" t="s">
        <v>53</v>
      </c>
      <c r="F9" t="s">
        <v>54</v>
      </c>
      <c r="G9" t="s">
        <v>63</v>
      </c>
      <c r="H9" t="s">
        <v>73</v>
      </c>
      <c r="I9" t="s">
        <v>67</v>
      </c>
      <c r="J9" t="s">
        <v>57</v>
      </c>
      <c r="K9" s="6">
        <f t="shared" si="1"/>
        <v>2.2000000000000002</v>
      </c>
      <c r="L9" t="s">
        <v>64</v>
      </c>
      <c r="M9">
        <f t="shared" si="0"/>
        <v>7</v>
      </c>
      <c r="N9" t="s">
        <v>27</v>
      </c>
      <c r="O9" t="s">
        <v>28</v>
      </c>
      <c r="P9" s="2">
        <v>1481</v>
      </c>
      <c r="Q9" t="s">
        <v>74</v>
      </c>
      <c r="R9" t="s">
        <v>75</v>
      </c>
      <c r="S9" t="s">
        <v>31</v>
      </c>
      <c r="T9" t="s">
        <v>59</v>
      </c>
    </row>
    <row r="10" spans="1:20" x14ac:dyDescent="0.25">
      <c r="A10" s="2">
        <v>9</v>
      </c>
      <c r="B10" s="2">
        <v>16216</v>
      </c>
      <c r="C10" t="s">
        <v>51</v>
      </c>
      <c r="D10" t="s">
        <v>52</v>
      </c>
      <c r="E10" t="s">
        <v>76</v>
      </c>
      <c r="F10" t="s">
        <v>77</v>
      </c>
      <c r="G10" t="s">
        <v>78</v>
      </c>
      <c r="H10" t="s">
        <v>46</v>
      </c>
      <c r="I10" t="s">
        <v>38</v>
      </c>
      <c r="J10" t="s">
        <v>57</v>
      </c>
      <c r="K10" s="6">
        <f t="shared" si="1"/>
        <v>2</v>
      </c>
      <c r="L10" t="s">
        <v>49</v>
      </c>
      <c r="M10">
        <f t="shared" si="0"/>
        <v>3</v>
      </c>
      <c r="N10" t="s">
        <v>40</v>
      </c>
      <c r="O10" t="s">
        <v>28</v>
      </c>
      <c r="P10" s="2">
        <v>470</v>
      </c>
      <c r="Q10" t="s">
        <v>74</v>
      </c>
      <c r="R10" t="s">
        <v>30</v>
      </c>
      <c r="S10" t="s">
        <v>31</v>
      </c>
      <c r="T10" t="s">
        <v>43</v>
      </c>
    </row>
    <row r="11" spans="1:20" x14ac:dyDescent="0.25">
      <c r="A11" s="2">
        <v>10</v>
      </c>
      <c r="B11" s="2">
        <v>61968</v>
      </c>
      <c r="C11" t="s">
        <v>33</v>
      </c>
      <c r="D11" t="s">
        <v>52</v>
      </c>
      <c r="E11" t="s">
        <v>79</v>
      </c>
      <c r="F11" t="s">
        <v>80</v>
      </c>
      <c r="G11" t="s">
        <v>36</v>
      </c>
      <c r="H11" t="s">
        <v>23</v>
      </c>
      <c r="I11" t="s">
        <v>24</v>
      </c>
      <c r="J11" t="s">
        <v>25</v>
      </c>
      <c r="K11" s="6">
        <f t="shared" si="1"/>
        <v>0.6</v>
      </c>
      <c r="L11" t="s">
        <v>64</v>
      </c>
      <c r="M11">
        <f t="shared" si="0"/>
        <v>7</v>
      </c>
      <c r="N11" t="s">
        <v>27</v>
      </c>
      <c r="O11" t="s">
        <v>72</v>
      </c>
      <c r="P11" s="2">
        <v>894</v>
      </c>
      <c r="Q11" t="s">
        <v>29</v>
      </c>
      <c r="R11" t="s">
        <v>68</v>
      </c>
      <c r="S11" t="s">
        <v>50</v>
      </c>
      <c r="T11" t="s">
        <v>43</v>
      </c>
    </row>
    <row r="12" spans="1:20" x14ac:dyDescent="0.25">
      <c r="A12" s="2">
        <v>11</v>
      </c>
      <c r="B12" s="2">
        <v>10179</v>
      </c>
      <c r="C12" t="s">
        <v>19</v>
      </c>
      <c r="D12" t="s">
        <v>52</v>
      </c>
      <c r="E12" t="s">
        <v>79</v>
      </c>
      <c r="F12" t="s">
        <v>80</v>
      </c>
      <c r="G12" t="s">
        <v>81</v>
      </c>
      <c r="H12" t="s">
        <v>23</v>
      </c>
      <c r="I12" t="s">
        <v>56</v>
      </c>
      <c r="J12" t="s">
        <v>48</v>
      </c>
      <c r="K12" s="6">
        <f t="shared" si="1"/>
        <v>0.55000000000000004</v>
      </c>
      <c r="L12" t="s">
        <v>49</v>
      </c>
      <c r="M12">
        <f t="shared" si="0"/>
        <v>3</v>
      </c>
      <c r="N12" t="s">
        <v>40</v>
      </c>
      <c r="O12" t="s">
        <v>82</v>
      </c>
      <c r="P12" s="2">
        <v>670</v>
      </c>
      <c r="Q12" t="s">
        <v>104</v>
      </c>
      <c r="R12" t="s">
        <v>68</v>
      </c>
      <c r="S12" t="s">
        <v>31</v>
      </c>
      <c r="T12" t="s">
        <v>43</v>
      </c>
    </row>
    <row r="13" spans="1:20" x14ac:dyDescent="0.25">
      <c r="A13" s="2">
        <v>12</v>
      </c>
      <c r="B13" s="2">
        <v>72703</v>
      </c>
      <c r="C13" t="s">
        <v>51</v>
      </c>
      <c r="D13" t="s">
        <v>52</v>
      </c>
      <c r="E13" t="s">
        <v>20</v>
      </c>
      <c r="F13" t="s">
        <v>21</v>
      </c>
      <c r="G13" t="s">
        <v>55</v>
      </c>
      <c r="H13" t="s">
        <v>23</v>
      </c>
      <c r="I13" t="s">
        <v>83</v>
      </c>
      <c r="J13" t="s">
        <v>48</v>
      </c>
      <c r="K13" s="6">
        <f t="shared" si="1"/>
        <v>2.2000000000000002</v>
      </c>
      <c r="L13" t="s">
        <v>26</v>
      </c>
      <c r="M13">
        <f t="shared" si="0"/>
        <v>1</v>
      </c>
      <c r="N13" t="s">
        <v>27</v>
      </c>
      <c r="O13" t="s">
        <v>65</v>
      </c>
      <c r="P13" s="2">
        <v>490</v>
      </c>
      <c r="Q13" t="s">
        <v>74</v>
      </c>
      <c r="R13" t="s">
        <v>75</v>
      </c>
      <c r="S13" t="s">
        <v>69</v>
      </c>
      <c r="T13" t="s">
        <v>32</v>
      </c>
    </row>
    <row r="14" spans="1:20" x14ac:dyDescent="0.25">
      <c r="A14" s="2">
        <v>13</v>
      </c>
      <c r="B14" s="2">
        <v>59836</v>
      </c>
      <c r="C14" t="s">
        <v>33</v>
      </c>
      <c r="D14" t="s">
        <v>52</v>
      </c>
      <c r="E14" t="s">
        <v>84</v>
      </c>
      <c r="F14" t="s">
        <v>85</v>
      </c>
      <c r="G14" t="s">
        <v>55</v>
      </c>
      <c r="H14" t="s">
        <v>23</v>
      </c>
      <c r="I14" t="s">
        <v>47</v>
      </c>
      <c r="J14" t="s">
        <v>39</v>
      </c>
      <c r="K14" s="6">
        <f t="shared" si="1"/>
        <v>2.5</v>
      </c>
      <c r="L14" t="s">
        <v>64</v>
      </c>
      <c r="M14">
        <f t="shared" si="0"/>
        <v>7</v>
      </c>
      <c r="N14" t="s">
        <v>104</v>
      </c>
      <c r="O14" t="s">
        <v>103</v>
      </c>
      <c r="P14" s="2">
        <v>786</v>
      </c>
      <c r="Q14" t="s">
        <v>74</v>
      </c>
      <c r="R14" t="s">
        <v>75</v>
      </c>
      <c r="S14" t="s">
        <v>69</v>
      </c>
      <c r="T14" t="s">
        <v>32</v>
      </c>
    </row>
    <row r="15" spans="1:20" x14ac:dyDescent="0.25">
      <c r="A15" s="2">
        <v>14</v>
      </c>
      <c r="B15" s="2">
        <v>89560</v>
      </c>
      <c r="C15" t="s">
        <v>33</v>
      </c>
      <c r="D15" t="s">
        <v>52</v>
      </c>
      <c r="E15" t="s">
        <v>53</v>
      </c>
      <c r="F15" t="s">
        <v>54</v>
      </c>
      <c r="G15" t="s">
        <v>63</v>
      </c>
      <c r="H15" t="s">
        <v>37</v>
      </c>
      <c r="I15" t="s">
        <v>38</v>
      </c>
      <c r="J15" t="s">
        <v>25</v>
      </c>
      <c r="K15" s="6">
        <f t="shared" si="1"/>
        <v>2</v>
      </c>
      <c r="L15" t="s">
        <v>49</v>
      </c>
      <c r="M15">
        <f t="shared" si="0"/>
        <v>3</v>
      </c>
      <c r="N15" t="s">
        <v>27</v>
      </c>
      <c r="O15" t="s">
        <v>103</v>
      </c>
      <c r="P15" s="2">
        <v>2159</v>
      </c>
      <c r="Q15" t="s">
        <v>29</v>
      </c>
      <c r="R15" t="s">
        <v>30</v>
      </c>
      <c r="S15" t="s">
        <v>58</v>
      </c>
      <c r="T15" t="s">
        <v>59</v>
      </c>
    </row>
    <row r="16" spans="1:20" x14ac:dyDescent="0.25">
      <c r="A16" s="2">
        <v>15</v>
      </c>
      <c r="B16" s="2">
        <v>84692</v>
      </c>
      <c r="C16" t="s">
        <v>51</v>
      </c>
      <c r="D16" t="s">
        <v>52</v>
      </c>
      <c r="E16" t="s">
        <v>34</v>
      </c>
      <c r="F16" t="s">
        <v>35</v>
      </c>
      <c r="G16" t="s">
        <v>70</v>
      </c>
      <c r="H16" t="s">
        <v>73</v>
      </c>
      <c r="I16" t="s">
        <v>38</v>
      </c>
      <c r="J16" t="s">
        <v>57</v>
      </c>
      <c r="K16" s="6">
        <f t="shared" si="1"/>
        <v>2</v>
      </c>
      <c r="L16" t="s">
        <v>26</v>
      </c>
      <c r="M16">
        <f t="shared" si="0"/>
        <v>1</v>
      </c>
      <c r="N16" t="s">
        <v>40</v>
      </c>
      <c r="O16" t="s">
        <v>28</v>
      </c>
      <c r="P16" s="2">
        <v>1288</v>
      </c>
      <c r="Q16" t="s">
        <v>41</v>
      </c>
      <c r="R16" t="s">
        <v>75</v>
      </c>
      <c r="S16" t="s">
        <v>58</v>
      </c>
      <c r="T16" t="s">
        <v>43</v>
      </c>
    </row>
    <row r="17" spans="1:20" x14ac:dyDescent="0.25">
      <c r="A17" s="2">
        <v>16</v>
      </c>
      <c r="B17" s="2">
        <v>25649</v>
      </c>
      <c r="C17" t="s">
        <v>51</v>
      </c>
      <c r="D17" t="s">
        <v>52</v>
      </c>
      <c r="E17" t="s">
        <v>79</v>
      </c>
      <c r="F17" t="s">
        <v>80</v>
      </c>
      <c r="G17" t="s">
        <v>78</v>
      </c>
      <c r="H17" t="s">
        <v>23</v>
      </c>
      <c r="I17" t="s">
        <v>56</v>
      </c>
      <c r="J17" t="s">
        <v>86</v>
      </c>
      <c r="K17" s="6">
        <f t="shared" si="1"/>
        <v>2.2000000000000002</v>
      </c>
      <c r="L17" t="s">
        <v>49</v>
      </c>
      <c r="M17">
        <f t="shared" si="0"/>
        <v>3</v>
      </c>
      <c r="N17" t="s">
        <v>27</v>
      </c>
      <c r="O17" t="s">
        <v>103</v>
      </c>
      <c r="P17" s="2">
        <v>414</v>
      </c>
      <c r="Q17" t="s">
        <v>74</v>
      </c>
      <c r="R17" t="s">
        <v>75</v>
      </c>
      <c r="S17" t="s">
        <v>69</v>
      </c>
      <c r="T17" t="s">
        <v>43</v>
      </c>
    </row>
    <row r="18" spans="1:20" x14ac:dyDescent="0.25">
      <c r="A18" s="2">
        <v>17</v>
      </c>
      <c r="B18" s="2">
        <v>90292</v>
      </c>
      <c r="C18" t="s">
        <v>51</v>
      </c>
      <c r="D18" t="s">
        <v>66</v>
      </c>
      <c r="E18" t="s">
        <v>87</v>
      </c>
      <c r="F18" t="s">
        <v>88</v>
      </c>
      <c r="G18" t="s">
        <v>22</v>
      </c>
      <c r="H18" t="s">
        <v>37</v>
      </c>
      <c r="I18" t="s">
        <v>24</v>
      </c>
      <c r="J18" t="s">
        <v>25</v>
      </c>
      <c r="K18" s="6">
        <f t="shared" si="1"/>
        <v>0.6</v>
      </c>
      <c r="L18" t="s">
        <v>49</v>
      </c>
      <c r="M18">
        <f t="shared" si="0"/>
        <v>3</v>
      </c>
      <c r="N18" t="s">
        <v>27</v>
      </c>
      <c r="O18" t="s">
        <v>28</v>
      </c>
      <c r="P18" s="2">
        <v>2968</v>
      </c>
      <c r="Q18" t="s">
        <v>104</v>
      </c>
      <c r="R18" t="s">
        <v>68</v>
      </c>
      <c r="S18" t="s">
        <v>69</v>
      </c>
      <c r="T18" t="s">
        <v>59</v>
      </c>
    </row>
    <row r="19" spans="1:20" x14ac:dyDescent="0.25">
      <c r="A19" s="2">
        <v>18</v>
      </c>
      <c r="B19" s="2">
        <v>77991</v>
      </c>
      <c r="C19" t="s">
        <v>51</v>
      </c>
      <c r="D19" t="s">
        <v>66</v>
      </c>
      <c r="E19" t="s">
        <v>89</v>
      </c>
      <c r="F19" t="s">
        <v>90</v>
      </c>
      <c r="G19" t="s">
        <v>36</v>
      </c>
      <c r="H19" t="s">
        <v>23</v>
      </c>
      <c r="I19" t="s">
        <v>47</v>
      </c>
      <c r="J19" t="s">
        <v>57</v>
      </c>
      <c r="K19" s="6">
        <f t="shared" si="1"/>
        <v>2.5</v>
      </c>
      <c r="L19" t="s">
        <v>49</v>
      </c>
      <c r="M19">
        <f t="shared" si="0"/>
        <v>3</v>
      </c>
      <c r="N19" t="s">
        <v>40</v>
      </c>
      <c r="O19" t="s">
        <v>28</v>
      </c>
      <c r="P19" s="2">
        <v>444</v>
      </c>
      <c r="Q19" t="s">
        <v>29</v>
      </c>
      <c r="R19" t="s">
        <v>75</v>
      </c>
      <c r="S19" t="s">
        <v>69</v>
      </c>
      <c r="T19" t="s">
        <v>59</v>
      </c>
    </row>
    <row r="20" spans="1:20" x14ac:dyDescent="0.25">
      <c r="A20" s="2">
        <v>19</v>
      </c>
      <c r="B20" s="2">
        <v>64681</v>
      </c>
      <c r="C20" t="s">
        <v>51</v>
      </c>
      <c r="D20" t="s">
        <v>52</v>
      </c>
      <c r="E20" t="s">
        <v>84</v>
      </c>
      <c r="F20" t="s">
        <v>85</v>
      </c>
      <c r="G20" t="s">
        <v>55</v>
      </c>
      <c r="H20" t="s">
        <v>46</v>
      </c>
      <c r="I20" t="s">
        <v>91</v>
      </c>
      <c r="J20" t="s">
        <v>57</v>
      </c>
      <c r="K20" s="6">
        <f t="shared" si="1"/>
        <v>1.1000000000000001</v>
      </c>
      <c r="L20" t="s">
        <v>64</v>
      </c>
      <c r="M20">
        <f t="shared" si="0"/>
        <v>7</v>
      </c>
      <c r="N20" t="s">
        <v>27</v>
      </c>
      <c r="O20" t="s">
        <v>28</v>
      </c>
      <c r="P20" s="2">
        <v>480</v>
      </c>
      <c r="Q20" t="s">
        <v>41</v>
      </c>
      <c r="R20" t="s">
        <v>42</v>
      </c>
      <c r="S20" t="s">
        <v>58</v>
      </c>
      <c r="T20" t="s">
        <v>32</v>
      </c>
    </row>
    <row r="21" spans="1:20" x14ac:dyDescent="0.25">
      <c r="A21" s="2">
        <v>20</v>
      </c>
      <c r="B21" s="2">
        <v>46699</v>
      </c>
      <c r="C21" t="s">
        <v>33</v>
      </c>
      <c r="D21" t="s">
        <v>66</v>
      </c>
      <c r="E21" t="s">
        <v>87</v>
      </c>
      <c r="F21" t="s">
        <v>88</v>
      </c>
      <c r="G21" t="s">
        <v>92</v>
      </c>
      <c r="H21" t="s">
        <v>23</v>
      </c>
      <c r="I21" t="s">
        <v>24</v>
      </c>
      <c r="J21" t="s">
        <v>25</v>
      </c>
      <c r="K21" s="6">
        <f t="shared" si="1"/>
        <v>2.4</v>
      </c>
      <c r="L21" t="s">
        <v>49</v>
      </c>
      <c r="M21">
        <f t="shared" si="0"/>
        <v>3</v>
      </c>
      <c r="N21" t="s">
        <v>27</v>
      </c>
      <c r="O21" t="s">
        <v>65</v>
      </c>
      <c r="P21" s="2">
        <v>858</v>
      </c>
      <c r="Q21" t="s">
        <v>74</v>
      </c>
      <c r="R21" t="s">
        <v>30</v>
      </c>
      <c r="S21" t="s">
        <v>58</v>
      </c>
      <c r="T21" t="s">
        <v>59</v>
      </c>
    </row>
    <row r="22" spans="1:20" x14ac:dyDescent="0.25">
      <c r="A22" s="2">
        <v>21</v>
      </c>
      <c r="B22" s="2">
        <v>56479</v>
      </c>
      <c r="C22" t="s">
        <v>19</v>
      </c>
      <c r="D22" t="s">
        <v>66</v>
      </c>
      <c r="E22" t="s">
        <v>93</v>
      </c>
      <c r="F22" t="s">
        <v>62</v>
      </c>
      <c r="G22" t="s">
        <v>78</v>
      </c>
      <c r="H22" t="s">
        <v>71</v>
      </c>
      <c r="I22" t="s">
        <v>83</v>
      </c>
      <c r="J22" t="s">
        <v>86</v>
      </c>
      <c r="K22" s="6">
        <f t="shared" si="1"/>
        <v>2.2000000000000002</v>
      </c>
      <c r="L22" t="s">
        <v>64</v>
      </c>
      <c r="M22">
        <f t="shared" si="0"/>
        <v>7</v>
      </c>
      <c r="N22" t="s">
        <v>40</v>
      </c>
      <c r="O22" t="s">
        <v>82</v>
      </c>
      <c r="P22" s="2">
        <v>154</v>
      </c>
      <c r="Q22" t="s">
        <v>41</v>
      </c>
      <c r="R22" t="s">
        <v>75</v>
      </c>
      <c r="S22" t="s">
        <v>69</v>
      </c>
      <c r="T22" t="s">
        <v>43</v>
      </c>
    </row>
    <row r="23" spans="1:20" x14ac:dyDescent="0.25">
      <c r="A23" s="2">
        <v>22</v>
      </c>
      <c r="B23" s="2">
        <v>39940</v>
      </c>
      <c r="C23" t="s">
        <v>60</v>
      </c>
      <c r="D23" t="s">
        <v>52</v>
      </c>
      <c r="E23" t="s">
        <v>79</v>
      </c>
      <c r="F23" t="s">
        <v>80</v>
      </c>
      <c r="G23" t="s">
        <v>45</v>
      </c>
      <c r="H23" t="s">
        <v>23</v>
      </c>
      <c r="I23" t="s">
        <v>94</v>
      </c>
      <c r="J23" t="s">
        <v>25</v>
      </c>
      <c r="K23" s="6">
        <f t="shared" si="1"/>
        <v>0.75</v>
      </c>
      <c r="L23" t="s">
        <v>64</v>
      </c>
      <c r="M23">
        <f t="shared" si="0"/>
        <v>7</v>
      </c>
      <c r="N23" t="s">
        <v>104</v>
      </c>
      <c r="O23" t="s">
        <v>103</v>
      </c>
      <c r="P23" s="2">
        <v>758</v>
      </c>
      <c r="Q23" t="s">
        <v>29</v>
      </c>
      <c r="R23" t="s">
        <v>42</v>
      </c>
      <c r="S23" t="s">
        <v>50</v>
      </c>
      <c r="T23" t="s">
        <v>43</v>
      </c>
    </row>
    <row r="24" spans="1:20" x14ac:dyDescent="0.25">
      <c r="A24" s="2">
        <v>23</v>
      </c>
      <c r="B24" s="2">
        <v>84833</v>
      </c>
      <c r="C24" t="s">
        <v>19</v>
      </c>
      <c r="D24" t="s">
        <v>52</v>
      </c>
      <c r="E24" t="s">
        <v>79</v>
      </c>
      <c r="F24" t="s">
        <v>80</v>
      </c>
      <c r="G24" t="s">
        <v>78</v>
      </c>
      <c r="H24" t="s">
        <v>46</v>
      </c>
      <c r="I24" t="s">
        <v>56</v>
      </c>
      <c r="J24" t="s">
        <v>57</v>
      </c>
      <c r="K24" s="6">
        <f t="shared" si="1"/>
        <v>2.2000000000000002</v>
      </c>
      <c r="L24" t="s">
        <v>64</v>
      </c>
      <c r="M24">
        <f t="shared" si="0"/>
        <v>7</v>
      </c>
      <c r="N24" t="s">
        <v>40</v>
      </c>
      <c r="O24" t="s">
        <v>28</v>
      </c>
      <c r="P24" s="2">
        <v>279</v>
      </c>
      <c r="Q24" t="s">
        <v>104</v>
      </c>
      <c r="R24" t="s">
        <v>30</v>
      </c>
      <c r="S24" t="s">
        <v>69</v>
      </c>
      <c r="T24" t="s">
        <v>43</v>
      </c>
    </row>
    <row r="25" spans="1:20" x14ac:dyDescent="0.25">
      <c r="A25" s="2">
        <v>24</v>
      </c>
      <c r="B25" s="2">
        <v>68438</v>
      </c>
      <c r="C25" t="s">
        <v>51</v>
      </c>
      <c r="D25" t="s">
        <v>52</v>
      </c>
      <c r="E25" t="s">
        <v>95</v>
      </c>
      <c r="F25" t="s">
        <v>21</v>
      </c>
      <c r="G25" t="s">
        <v>78</v>
      </c>
      <c r="H25" t="s">
        <v>46</v>
      </c>
      <c r="I25" t="s">
        <v>67</v>
      </c>
      <c r="J25" t="s">
        <v>57</v>
      </c>
      <c r="K25" s="6">
        <f t="shared" si="1"/>
        <v>2.2000000000000002</v>
      </c>
      <c r="L25" t="s">
        <v>26</v>
      </c>
      <c r="M25">
        <f t="shared" si="0"/>
        <v>1</v>
      </c>
      <c r="N25" t="s">
        <v>27</v>
      </c>
      <c r="O25" t="s">
        <v>72</v>
      </c>
      <c r="P25" s="2">
        <v>451</v>
      </c>
      <c r="Q25" t="s">
        <v>29</v>
      </c>
      <c r="R25" t="s">
        <v>75</v>
      </c>
      <c r="S25" t="s">
        <v>31</v>
      </c>
      <c r="T25" t="s">
        <v>43</v>
      </c>
    </row>
    <row r="26" spans="1:20" x14ac:dyDescent="0.25">
      <c r="A26" s="2">
        <v>25</v>
      </c>
      <c r="B26" s="2">
        <v>24814</v>
      </c>
      <c r="C26" t="s">
        <v>96</v>
      </c>
      <c r="D26" t="s">
        <v>52</v>
      </c>
      <c r="E26" t="s">
        <v>87</v>
      </c>
      <c r="F26" t="s">
        <v>88</v>
      </c>
      <c r="G26" t="s">
        <v>70</v>
      </c>
      <c r="H26" t="s">
        <v>37</v>
      </c>
      <c r="I26" t="s">
        <v>56</v>
      </c>
      <c r="J26" t="s">
        <v>39</v>
      </c>
      <c r="K26" s="6">
        <f t="shared" si="1"/>
        <v>2.2000000000000002</v>
      </c>
      <c r="L26" t="s">
        <v>64</v>
      </c>
      <c r="M26">
        <f t="shared" si="0"/>
        <v>7</v>
      </c>
      <c r="N26" t="s">
        <v>40</v>
      </c>
      <c r="O26" t="s">
        <v>82</v>
      </c>
      <c r="P26" s="2">
        <v>2421</v>
      </c>
      <c r="Q26" t="s">
        <v>74</v>
      </c>
      <c r="R26" t="s">
        <v>30</v>
      </c>
      <c r="S26" t="s">
        <v>58</v>
      </c>
      <c r="T26" t="s">
        <v>59</v>
      </c>
    </row>
    <row r="27" spans="1:20" x14ac:dyDescent="0.25">
      <c r="A27" s="2">
        <v>26</v>
      </c>
      <c r="B27" s="2">
        <v>45710</v>
      </c>
      <c r="C27" t="s">
        <v>51</v>
      </c>
      <c r="D27" t="s">
        <v>66</v>
      </c>
      <c r="E27" t="s">
        <v>84</v>
      </c>
      <c r="F27" t="s">
        <v>85</v>
      </c>
      <c r="G27" t="s">
        <v>22</v>
      </c>
      <c r="H27" t="s">
        <v>23</v>
      </c>
      <c r="I27" t="s">
        <v>67</v>
      </c>
      <c r="J27" t="s">
        <v>86</v>
      </c>
      <c r="K27" s="6">
        <f t="shared" si="1"/>
        <v>2.2000000000000002</v>
      </c>
      <c r="L27" t="s">
        <v>64</v>
      </c>
      <c r="M27">
        <f t="shared" si="0"/>
        <v>7</v>
      </c>
      <c r="N27" t="s">
        <v>27</v>
      </c>
      <c r="O27" t="s">
        <v>28</v>
      </c>
      <c r="P27" s="2">
        <v>809</v>
      </c>
      <c r="Q27" t="s">
        <v>104</v>
      </c>
      <c r="R27" t="s">
        <v>30</v>
      </c>
      <c r="S27" t="s">
        <v>50</v>
      </c>
      <c r="T27" t="s">
        <v>32</v>
      </c>
    </row>
    <row r="28" spans="1:20" x14ac:dyDescent="0.25">
      <c r="A28" s="2">
        <v>27</v>
      </c>
      <c r="B28" s="2">
        <v>10315</v>
      </c>
      <c r="C28" t="s">
        <v>33</v>
      </c>
      <c r="D28" t="s">
        <v>66</v>
      </c>
      <c r="E28" t="s">
        <v>97</v>
      </c>
      <c r="F28" t="s">
        <v>62</v>
      </c>
      <c r="G28" t="s">
        <v>98</v>
      </c>
      <c r="H28" t="s">
        <v>37</v>
      </c>
      <c r="I28" t="s">
        <v>83</v>
      </c>
      <c r="J28" t="s">
        <v>57</v>
      </c>
      <c r="K28" s="6">
        <f t="shared" si="1"/>
        <v>1.1000000000000001</v>
      </c>
      <c r="L28" t="s">
        <v>26</v>
      </c>
      <c r="M28">
        <f t="shared" si="0"/>
        <v>1</v>
      </c>
      <c r="N28" t="s">
        <v>104</v>
      </c>
      <c r="O28" t="s">
        <v>28</v>
      </c>
      <c r="P28" s="2">
        <v>1201</v>
      </c>
      <c r="Q28" t="s">
        <v>104</v>
      </c>
      <c r="R28" t="s">
        <v>42</v>
      </c>
      <c r="S28" t="s">
        <v>58</v>
      </c>
      <c r="T28" t="s">
        <v>59</v>
      </c>
    </row>
    <row r="29" spans="1:20" x14ac:dyDescent="0.25">
      <c r="A29" s="2">
        <v>28</v>
      </c>
      <c r="B29" s="2">
        <v>91736</v>
      </c>
      <c r="C29" t="s">
        <v>51</v>
      </c>
      <c r="D29" t="s">
        <v>66</v>
      </c>
      <c r="E29" t="s">
        <v>99</v>
      </c>
      <c r="F29" t="s">
        <v>100</v>
      </c>
      <c r="G29" t="s">
        <v>55</v>
      </c>
      <c r="H29" t="s">
        <v>46</v>
      </c>
      <c r="I29" t="s">
        <v>47</v>
      </c>
      <c r="J29" t="s">
        <v>57</v>
      </c>
      <c r="K29" s="6">
        <f t="shared" si="1"/>
        <v>2.5</v>
      </c>
      <c r="L29" t="s">
        <v>64</v>
      </c>
      <c r="M29">
        <f t="shared" si="0"/>
        <v>7</v>
      </c>
      <c r="N29" t="s">
        <v>27</v>
      </c>
      <c r="O29" t="s">
        <v>65</v>
      </c>
      <c r="P29" s="2">
        <v>494</v>
      </c>
      <c r="Q29" t="s">
        <v>29</v>
      </c>
      <c r="R29" t="s">
        <v>30</v>
      </c>
      <c r="S29" t="s">
        <v>50</v>
      </c>
      <c r="T29" t="s">
        <v>32</v>
      </c>
    </row>
    <row r="30" spans="1:20" x14ac:dyDescent="0.25">
      <c r="A30" s="2">
        <v>29</v>
      </c>
      <c r="B30" s="2">
        <v>97002</v>
      </c>
      <c r="C30" t="s">
        <v>60</v>
      </c>
      <c r="D30" t="s">
        <v>66</v>
      </c>
      <c r="E30" t="s">
        <v>44</v>
      </c>
      <c r="F30" t="s">
        <v>44</v>
      </c>
      <c r="G30" t="s">
        <v>36</v>
      </c>
      <c r="H30" t="s">
        <v>23</v>
      </c>
      <c r="I30" t="s">
        <v>56</v>
      </c>
      <c r="J30" t="s">
        <v>39</v>
      </c>
      <c r="K30" s="6">
        <f t="shared" si="1"/>
        <v>2.2000000000000002</v>
      </c>
      <c r="L30" t="s">
        <v>49</v>
      </c>
      <c r="M30">
        <f t="shared" si="0"/>
        <v>3</v>
      </c>
      <c r="N30" t="s">
        <v>40</v>
      </c>
      <c r="O30" t="s">
        <v>82</v>
      </c>
      <c r="P30" s="2">
        <v>403</v>
      </c>
      <c r="Q30" t="s">
        <v>29</v>
      </c>
      <c r="R30" t="s">
        <v>30</v>
      </c>
      <c r="S30" t="s">
        <v>50</v>
      </c>
      <c r="T30" t="s">
        <v>43</v>
      </c>
    </row>
    <row r="31" spans="1:20" x14ac:dyDescent="0.25">
      <c r="A31" s="2">
        <v>30</v>
      </c>
      <c r="B31" s="2">
        <v>41731</v>
      </c>
      <c r="C31" t="s">
        <v>33</v>
      </c>
      <c r="D31" t="s">
        <v>66</v>
      </c>
      <c r="E31" t="s">
        <v>44</v>
      </c>
      <c r="F31" t="s">
        <v>44</v>
      </c>
      <c r="G31" t="s">
        <v>55</v>
      </c>
      <c r="H31" t="s">
        <v>46</v>
      </c>
      <c r="I31" t="s">
        <v>24</v>
      </c>
      <c r="J31" t="s">
        <v>48</v>
      </c>
      <c r="K31" s="6">
        <f t="shared" si="1"/>
        <v>1.2</v>
      </c>
      <c r="L31" t="s">
        <v>64</v>
      </c>
      <c r="M31">
        <f t="shared" si="0"/>
        <v>7</v>
      </c>
      <c r="N31" t="s">
        <v>27</v>
      </c>
      <c r="O31" t="s">
        <v>103</v>
      </c>
      <c r="P31" s="2">
        <v>428</v>
      </c>
      <c r="Q31" t="s">
        <v>104</v>
      </c>
      <c r="R31" t="s">
        <v>42</v>
      </c>
      <c r="S31" t="s">
        <v>31</v>
      </c>
      <c r="T31" t="s">
        <v>43</v>
      </c>
    </row>
    <row r="32" spans="1:20" x14ac:dyDescent="0.25">
      <c r="A32" s="2">
        <v>31</v>
      </c>
      <c r="B32" s="2">
        <v>24496</v>
      </c>
      <c r="C32" t="s">
        <v>51</v>
      </c>
      <c r="D32" t="s">
        <v>52</v>
      </c>
      <c r="E32" t="s">
        <v>79</v>
      </c>
      <c r="F32" t="s">
        <v>80</v>
      </c>
      <c r="G32" t="s">
        <v>78</v>
      </c>
      <c r="H32" t="s">
        <v>37</v>
      </c>
      <c r="I32" t="s">
        <v>67</v>
      </c>
      <c r="J32" t="s">
        <v>57</v>
      </c>
      <c r="K32" s="6">
        <f t="shared" si="1"/>
        <v>2.2000000000000002</v>
      </c>
      <c r="L32" t="s">
        <v>64</v>
      </c>
      <c r="M32">
        <f t="shared" si="0"/>
        <v>7</v>
      </c>
      <c r="N32" t="s">
        <v>27</v>
      </c>
      <c r="O32" t="s">
        <v>103</v>
      </c>
      <c r="P32" s="2">
        <v>1352</v>
      </c>
      <c r="Q32" t="s">
        <v>74</v>
      </c>
      <c r="R32" t="s">
        <v>30</v>
      </c>
      <c r="S32" t="s">
        <v>69</v>
      </c>
      <c r="T32" t="s">
        <v>43</v>
      </c>
    </row>
    <row r="33" spans="1:20" x14ac:dyDescent="0.25">
      <c r="A33" s="2">
        <v>32</v>
      </c>
      <c r="B33" s="2">
        <v>67854</v>
      </c>
      <c r="C33" t="s">
        <v>33</v>
      </c>
      <c r="D33" t="s">
        <v>52</v>
      </c>
      <c r="E33" t="s">
        <v>34</v>
      </c>
      <c r="F33" t="s">
        <v>35</v>
      </c>
      <c r="G33" t="s">
        <v>98</v>
      </c>
      <c r="H33" t="s">
        <v>37</v>
      </c>
      <c r="I33" t="s">
        <v>47</v>
      </c>
      <c r="J33" t="s">
        <v>48</v>
      </c>
      <c r="K33" s="6">
        <f t="shared" si="1"/>
        <v>0.625</v>
      </c>
      <c r="L33" t="s">
        <v>64</v>
      </c>
      <c r="M33">
        <f t="shared" si="0"/>
        <v>7</v>
      </c>
      <c r="N33" t="s">
        <v>27</v>
      </c>
      <c r="O33" t="s">
        <v>103</v>
      </c>
      <c r="P33" s="2">
        <v>2526</v>
      </c>
      <c r="Q33" t="s">
        <v>29</v>
      </c>
      <c r="R33" t="s">
        <v>68</v>
      </c>
      <c r="S33" t="s">
        <v>58</v>
      </c>
      <c r="T33" t="s">
        <v>43</v>
      </c>
    </row>
    <row r="34" spans="1:20" x14ac:dyDescent="0.25">
      <c r="A34" s="2">
        <v>33</v>
      </c>
      <c r="B34" s="2">
        <v>56600</v>
      </c>
      <c r="C34" t="s">
        <v>33</v>
      </c>
      <c r="D34" t="s">
        <v>66</v>
      </c>
      <c r="E34" t="s">
        <v>44</v>
      </c>
      <c r="F34" t="s">
        <v>44</v>
      </c>
      <c r="G34" t="s">
        <v>81</v>
      </c>
      <c r="H34" t="s">
        <v>46</v>
      </c>
      <c r="I34" t="s">
        <v>56</v>
      </c>
      <c r="J34" t="s">
        <v>25</v>
      </c>
      <c r="K34" s="6">
        <f t="shared" si="1"/>
        <v>2.2000000000000002</v>
      </c>
      <c r="L34" t="s">
        <v>64</v>
      </c>
      <c r="M34">
        <f t="shared" si="0"/>
        <v>7</v>
      </c>
      <c r="N34" t="s">
        <v>27</v>
      </c>
      <c r="O34" t="s">
        <v>82</v>
      </c>
      <c r="P34" s="2">
        <v>463</v>
      </c>
      <c r="Q34" t="s">
        <v>41</v>
      </c>
      <c r="R34" t="s">
        <v>30</v>
      </c>
      <c r="S34" t="s">
        <v>69</v>
      </c>
      <c r="T34" t="s">
        <v>43</v>
      </c>
    </row>
    <row r="35" spans="1:20" x14ac:dyDescent="0.25">
      <c r="A35" s="2">
        <v>34</v>
      </c>
      <c r="B35" s="2">
        <v>35126</v>
      </c>
      <c r="C35" t="s">
        <v>51</v>
      </c>
      <c r="D35" t="s">
        <v>66</v>
      </c>
      <c r="E35" t="s">
        <v>53</v>
      </c>
      <c r="F35" t="s">
        <v>54</v>
      </c>
      <c r="G35" t="s">
        <v>92</v>
      </c>
      <c r="H35" t="s">
        <v>23</v>
      </c>
      <c r="I35" t="s">
        <v>91</v>
      </c>
      <c r="J35" t="s">
        <v>57</v>
      </c>
      <c r="K35" s="6">
        <f t="shared" si="1"/>
        <v>2.2000000000000002</v>
      </c>
      <c r="L35" t="s">
        <v>64</v>
      </c>
      <c r="M35">
        <f t="shared" si="0"/>
        <v>7</v>
      </c>
      <c r="N35" t="s">
        <v>27</v>
      </c>
      <c r="O35" t="s">
        <v>103</v>
      </c>
      <c r="P35" s="2">
        <v>426</v>
      </c>
      <c r="Q35" t="s">
        <v>104</v>
      </c>
      <c r="R35" t="s">
        <v>30</v>
      </c>
      <c r="S35" t="s">
        <v>31</v>
      </c>
      <c r="T35" t="s">
        <v>59</v>
      </c>
    </row>
    <row r="36" spans="1:20" x14ac:dyDescent="0.25">
      <c r="A36" s="2">
        <v>35</v>
      </c>
      <c r="B36" s="2">
        <v>50215</v>
      </c>
      <c r="C36" t="s">
        <v>19</v>
      </c>
      <c r="D36" t="s">
        <v>52</v>
      </c>
      <c r="E36" t="s">
        <v>84</v>
      </c>
      <c r="F36" t="s">
        <v>85</v>
      </c>
      <c r="G36" t="s">
        <v>81</v>
      </c>
      <c r="H36" t="s">
        <v>71</v>
      </c>
      <c r="I36" t="s">
        <v>67</v>
      </c>
      <c r="J36" t="s">
        <v>57</v>
      </c>
      <c r="K36" s="6">
        <f t="shared" si="1"/>
        <v>2.2000000000000002</v>
      </c>
      <c r="L36" t="s">
        <v>49</v>
      </c>
      <c r="M36">
        <f t="shared" si="0"/>
        <v>3</v>
      </c>
      <c r="N36" t="s">
        <v>40</v>
      </c>
      <c r="O36" t="s">
        <v>28</v>
      </c>
      <c r="P36" s="2">
        <v>193</v>
      </c>
      <c r="Q36" t="s">
        <v>104</v>
      </c>
      <c r="R36" t="s">
        <v>75</v>
      </c>
      <c r="S36" t="s">
        <v>58</v>
      </c>
      <c r="T36" t="s">
        <v>32</v>
      </c>
    </row>
    <row r="37" spans="1:20" x14ac:dyDescent="0.25">
      <c r="A37" s="2">
        <v>36</v>
      </c>
      <c r="B37" s="2">
        <v>60817</v>
      </c>
      <c r="C37" t="s">
        <v>51</v>
      </c>
      <c r="D37" t="s">
        <v>66</v>
      </c>
      <c r="E37" t="s">
        <v>20</v>
      </c>
      <c r="F37" t="s">
        <v>21</v>
      </c>
      <c r="G37" t="s">
        <v>92</v>
      </c>
      <c r="H37" t="s">
        <v>73</v>
      </c>
      <c r="I37" t="s">
        <v>91</v>
      </c>
      <c r="J37" t="s">
        <v>57</v>
      </c>
      <c r="K37" s="6">
        <f t="shared" si="1"/>
        <v>2.2000000000000002</v>
      </c>
      <c r="L37" t="s">
        <v>64</v>
      </c>
      <c r="M37">
        <f t="shared" si="0"/>
        <v>7</v>
      </c>
      <c r="N37" t="s">
        <v>40</v>
      </c>
      <c r="O37" t="s">
        <v>103</v>
      </c>
      <c r="P37" s="2">
        <v>1013</v>
      </c>
      <c r="Q37" t="s">
        <v>104</v>
      </c>
      <c r="R37" t="s">
        <v>30</v>
      </c>
      <c r="S37" t="s">
        <v>31</v>
      </c>
      <c r="T37" t="s">
        <v>32</v>
      </c>
    </row>
    <row r="38" spans="1:20" x14ac:dyDescent="0.25">
      <c r="A38" s="2">
        <v>37</v>
      </c>
      <c r="B38" s="2">
        <v>91958</v>
      </c>
      <c r="C38" t="s">
        <v>60</v>
      </c>
      <c r="D38" t="s">
        <v>52</v>
      </c>
      <c r="E38" t="s">
        <v>89</v>
      </c>
      <c r="F38" t="s">
        <v>90</v>
      </c>
      <c r="G38" t="s">
        <v>98</v>
      </c>
      <c r="H38" t="s">
        <v>46</v>
      </c>
      <c r="I38" t="s">
        <v>38</v>
      </c>
      <c r="J38" t="s">
        <v>57</v>
      </c>
      <c r="K38" s="6">
        <f t="shared" si="1"/>
        <v>0.5</v>
      </c>
      <c r="L38" t="s">
        <v>64</v>
      </c>
      <c r="M38">
        <f t="shared" si="0"/>
        <v>7</v>
      </c>
      <c r="N38" t="s">
        <v>104</v>
      </c>
      <c r="O38" t="s">
        <v>103</v>
      </c>
      <c r="P38" s="2">
        <v>250</v>
      </c>
      <c r="Q38" t="s">
        <v>74</v>
      </c>
      <c r="R38" t="s">
        <v>68</v>
      </c>
      <c r="S38" t="s">
        <v>69</v>
      </c>
      <c r="T38" t="s">
        <v>59</v>
      </c>
    </row>
    <row r="39" spans="1:20" x14ac:dyDescent="0.25">
      <c r="A39" s="2">
        <v>38</v>
      </c>
      <c r="B39" s="2">
        <v>43477</v>
      </c>
      <c r="C39" t="s">
        <v>51</v>
      </c>
      <c r="D39" t="s">
        <v>52</v>
      </c>
      <c r="E39" t="s">
        <v>79</v>
      </c>
      <c r="F39" t="s">
        <v>80</v>
      </c>
      <c r="G39" t="s">
        <v>70</v>
      </c>
      <c r="H39" t="s">
        <v>23</v>
      </c>
      <c r="I39" t="s">
        <v>24</v>
      </c>
      <c r="J39" t="s">
        <v>25</v>
      </c>
      <c r="K39" s="6">
        <f t="shared" si="1"/>
        <v>0.6</v>
      </c>
      <c r="L39" t="s">
        <v>64</v>
      </c>
      <c r="M39">
        <f t="shared" si="0"/>
        <v>7</v>
      </c>
      <c r="N39" t="s">
        <v>27</v>
      </c>
      <c r="O39" t="s">
        <v>28</v>
      </c>
      <c r="P39" s="2">
        <v>816</v>
      </c>
      <c r="Q39" t="s">
        <v>29</v>
      </c>
      <c r="R39" t="s">
        <v>68</v>
      </c>
      <c r="S39" t="s">
        <v>31</v>
      </c>
      <c r="T39" t="s">
        <v>43</v>
      </c>
    </row>
    <row r="40" spans="1:20" x14ac:dyDescent="0.25">
      <c r="A40" s="2">
        <v>39</v>
      </c>
      <c r="B40" s="2">
        <v>96746</v>
      </c>
      <c r="C40" t="s">
        <v>33</v>
      </c>
      <c r="D40" t="s">
        <v>52</v>
      </c>
      <c r="E40" t="s">
        <v>93</v>
      </c>
      <c r="F40" t="s">
        <v>62</v>
      </c>
      <c r="G40" t="s">
        <v>63</v>
      </c>
      <c r="H40" t="s">
        <v>46</v>
      </c>
      <c r="I40" t="s">
        <v>91</v>
      </c>
      <c r="J40" t="s">
        <v>86</v>
      </c>
      <c r="K40" s="6">
        <f t="shared" si="1"/>
        <v>1.1000000000000001</v>
      </c>
      <c r="L40" t="s">
        <v>26</v>
      </c>
      <c r="M40">
        <f t="shared" si="0"/>
        <v>1</v>
      </c>
      <c r="N40" t="s">
        <v>27</v>
      </c>
      <c r="O40" t="s">
        <v>28</v>
      </c>
      <c r="P40" s="2">
        <v>446</v>
      </c>
      <c r="Q40" t="s">
        <v>29</v>
      </c>
      <c r="R40" t="s">
        <v>42</v>
      </c>
      <c r="S40" t="s">
        <v>69</v>
      </c>
      <c r="T40" t="s">
        <v>43</v>
      </c>
    </row>
    <row r="41" spans="1:20" x14ac:dyDescent="0.25">
      <c r="A41" s="2">
        <v>40</v>
      </c>
      <c r="B41" s="2">
        <v>60088</v>
      </c>
      <c r="C41" t="s">
        <v>51</v>
      </c>
      <c r="D41" t="s">
        <v>52</v>
      </c>
      <c r="E41" t="s">
        <v>89</v>
      </c>
      <c r="F41" t="s">
        <v>90</v>
      </c>
      <c r="G41" t="s">
        <v>98</v>
      </c>
      <c r="H41" t="s">
        <v>46</v>
      </c>
      <c r="I41" t="s">
        <v>38</v>
      </c>
      <c r="J41" t="s">
        <v>57</v>
      </c>
      <c r="K41" s="6">
        <f t="shared" si="1"/>
        <v>1</v>
      </c>
      <c r="L41" t="s">
        <v>49</v>
      </c>
      <c r="M41">
        <f t="shared" si="0"/>
        <v>3</v>
      </c>
      <c r="N41" t="s">
        <v>40</v>
      </c>
      <c r="O41" t="s">
        <v>72</v>
      </c>
      <c r="P41" s="2">
        <v>533</v>
      </c>
      <c r="Q41" t="s">
        <v>41</v>
      </c>
      <c r="R41" t="s">
        <v>42</v>
      </c>
      <c r="S41" t="s">
        <v>58</v>
      </c>
      <c r="T41" t="s">
        <v>59</v>
      </c>
    </row>
    <row r="42" spans="1:20" x14ac:dyDescent="0.25">
      <c r="A42" s="2">
        <v>41</v>
      </c>
      <c r="B42" s="2">
        <v>57188</v>
      </c>
      <c r="C42" t="s">
        <v>51</v>
      </c>
      <c r="D42" t="s">
        <v>66</v>
      </c>
      <c r="E42" t="s">
        <v>95</v>
      </c>
      <c r="F42" t="s">
        <v>21</v>
      </c>
      <c r="G42" t="s">
        <v>81</v>
      </c>
      <c r="H42" t="s">
        <v>23</v>
      </c>
      <c r="I42" t="s">
        <v>94</v>
      </c>
      <c r="J42" t="s">
        <v>25</v>
      </c>
      <c r="K42" s="6">
        <f t="shared" si="1"/>
        <v>1.5</v>
      </c>
      <c r="L42" t="s">
        <v>64</v>
      </c>
      <c r="M42">
        <f t="shared" si="0"/>
        <v>7</v>
      </c>
      <c r="N42" t="s">
        <v>27</v>
      </c>
      <c r="O42" t="s">
        <v>103</v>
      </c>
      <c r="P42" s="2">
        <v>450</v>
      </c>
      <c r="Q42" t="s">
        <v>74</v>
      </c>
      <c r="R42" t="s">
        <v>30</v>
      </c>
      <c r="S42" t="s">
        <v>58</v>
      </c>
      <c r="T42" t="s">
        <v>43</v>
      </c>
    </row>
    <row r="43" spans="1:20" x14ac:dyDescent="0.25">
      <c r="A43" s="2">
        <v>42</v>
      </c>
      <c r="B43" s="2">
        <v>39889</v>
      </c>
      <c r="C43" t="s">
        <v>33</v>
      </c>
      <c r="D43" t="s">
        <v>66</v>
      </c>
      <c r="E43" t="s">
        <v>53</v>
      </c>
      <c r="F43" t="s">
        <v>54</v>
      </c>
      <c r="G43" t="s">
        <v>63</v>
      </c>
      <c r="H43" t="s">
        <v>46</v>
      </c>
      <c r="I43" t="s">
        <v>56</v>
      </c>
      <c r="J43" t="s">
        <v>39</v>
      </c>
      <c r="K43" s="6">
        <f t="shared" si="1"/>
        <v>2.2000000000000002</v>
      </c>
      <c r="L43" t="s">
        <v>49</v>
      </c>
      <c r="M43">
        <f t="shared" si="0"/>
        <v>3</v>
      </c>
      <c r="N43" t="s">
        <v>27</v>
      </c>
      <c r="O43" t="s">
        <v>65</v>
      </c>
      <c r="P43" s="2">
        <v>422</v>
      </c>
      <c r="Q43" t="s">
        <v>29</v>
      </c>
      <c r="R43" t="s">
        <v>30</v>
      </c>
      <c r="S43" t="s">
        <v>58</v>
      </c>
      <c r="T43" t="s">
        <v>59</v>
      </c>
    </row>
    <row r="44" spans="1:20" x14ac:dyDescent="0.25">
      <c r="A44" s="2">
        <v>43</v>
      </c>
      <c r="B44" s="2">
        <v>79596</v>
      </c>
      <c r="C44" t="s">
        <v>19</v>
      </c>
      <c r="D44" t="s">
        <v>52</v>
      </c>
      <c r="E44" t="s">
        <v>61</v>
      </c>
      <c r="F44" t="s">
        <v>62</v>
      </c>
      <c r="G44" t="s">
        <v>45</v>
      </c>
      <c r="H44" t="s">
        <v>23</v>
      </c>
      <c r="I44" t="s">
        <v>38</v>
      </c>
      <c r="J44" t="s">
        <v>57</v>
      </c>
      <c r="K44" s="6">
        <f t="shared" si="1"/>
        <v>2</v>
      </c>
      <c r="L44" t="s">
        <v>26</v>
      </c>
      <c r="M44">
        <f t="shared" si="0"/>
        <v>1</v>
      </c>
      <c r="N44" t="s">
        <v>40</v>
      </c>
      <c r="O44" t="s">
        <v>103</v>
      </c>
      <c r="P44" s="2">
        <v>787</v>
      </c>
      <c r="Q44" t="s">
        <v>104</v>
      </c>
      <c r="R44" t="s">
        <v>30</v>
      </c>
      <c r="S44" t="s">
        <v>50</v>
      </c>
      <c r="T44" t="s">
        <v>59</v>
      </c>
    </row>
    <row r="45" spans="1:20" x14ac:dyDescent="0.25">
      <c r="A45" s="2">
        <v>44</v>
      </c>
      <c r="B45" s="2">
        <v>52487</v>
      </c>
      <c r="C45" t="s">
        <v>96</v>
      </c>
      <c r="D45" t="s">
        <v>52</v>
      </c>
      <c r="E45" t="s">
        <v>89</v>
      </c>
      <c r="F45" t="s">
        <v>90</v>
      </c>
      <c r="G45" t="s">
        <v>55</v>
      </c>
      <c r="H45" t="s">
        <v>46</v>
      </c>
      <c r="I45" t="s">
        <v>91</v>
      </c>
      <c r="J45" t="s">
        <v>86</v>
      </c>
      <c r="K45" s="6">
        <f t="shared" si="1"/>
        <v>1.1000000000000001</v>
      </c>
      <c r="L45" t="s">
        <v>64</v>
      </c>
      <c r="M45">
        <f t="shared" si="0"/>
        <v>7</v>
      </c>
      <c r="N45" t="s">
        <v>40</v>
      </c>
      <c r="O45" t="s">
        <v>103</v>
      </c>
      <c r="P45" s="2">
        <v>537</v>
      </c>
      <c r="Q45" t="s">
        <v>41</v>
      </c>
      <c r="R45" t="s">
        <v>42</v>
      </c>
      <c r="S45" t="s">
        <v>31</v>
      </c>
      <c r="T45" t="s">
        <v>59</v>
      </c>
    </row>
    <row r="46" spans="1:20" x14ac:dyDescent="0.25">
      <c r="A46" s="2">
        <v>45</v>
      </c>
      <c r="B46" s="2">
        <v>88782</v>
      </c>
      <c r="C46" t="s">
        <v>51</v>
      </c>
      <c r="D46" t="s">
        <v>66</v>
      </c>
      <c r="E46" t="s">
        <v>44</v>
      </c>
      <c r="F46" t="s">
        <v>44</v>
      </c>
      <c r="G46" t="s">
        <v>22</v>
      </c>
      <c r="H46" t="s">
        <v>71</v>
      </c>
      <c r="I46" t="s">
        <v>94</v>
      </c>
      <c r="J46" t="s">
        <v>57</v>
      </c>
      <c r="K46" s="6">
        <f t="shared" si="1"/>
        <v>0.75</v>
      </c>
      <c r="L46" t="s">
        <v>49</v>
      </c>
      <c r="M46">
        <f t="shared" si="0"/>
        <v>3</v>
      </c>
      <c r="N46" t="s">
        <v>104</v>
      </c>
      <c r="O46" t="s">
        <v>103</v>
      </c>
      <c r="P46" s="2">
        <v>334</v>
      </c>
      <c r="Q46" t="s">
        <v>29</v>
      </c>
      <c r="R46" t="s">
        <v>42</v>
      </c>
      <c r="S46" t="s">
        <v>58</v>
      </c>
      <c r="T46" t="s">
        <v>43</v>
      </c>
    </row>
    <row r="47" spans="1:20" x14ac:dyDescent="0.25">
      <c r="A47" s="2">
        <v>46</v>
      </c>
      <c r="B47" s="2">
        <v>41422</v>
      </c>
      <c r="C47" t="s">
        <v>60</v>
      </c>
      <c r="D47" t="s">
        <v>66</v>
      </c>
      <c r="E47" t="s">
        <v>53</v>
      </c>
      <c r="F47" t="s">
        <v>54</v>
      </c>
      <c r="G47" t="s">
        <v>98</v>
      </c>
      <c r="H47" t="s">
        <v>23</v>
      </c>
      <c r="I47" t="s">
        <v>83</v>
      </c>
      <c r="J47" t="s">
        <v>57</v>
      </c>
      <c r="K47" s="6">
        <f t="shared" si="1"/>
        <v>2.2000000000000002</v>
      </c>
      <c r="L47" t="s">
        <v>49</v>
      </c>
      <c r="M47">
        <f t="shared" si="0"/>
        <v>3</v>
      </c>
      <c r="N47" t="s">
        <v>104</v>
      </c>
      <c r="O47" t="s">
        <v>72</v>
      </c>
      <c r="P47" s="2">
        <v>536</v>
      </c>
      <c r="Q47" t="s">
        <v>104</v>
      </c>
      <c r="R47" t="s">
        <v>30</v>
      </c>
      <c r="S47" t="s">
        <v>58</v>
      </c>
      <c r="T47" t="s">
        <v>59</v>
      </c>
    </row>
    <row r="48" spans="1:20" x14ac:dyDescent="0.25">
      <c r="A48" s="2">
        <v>47</v>
      </c>
      <c r="B48" s="2">
        <v>86253</v>
      </c>
      <c r="C48" t="s">
        <v>33</v>
      </c>
      <c r="D48" t="s">
        <v>66</v>
      </c>
      <c r="E48" t="s">
        <v>20</v>
      </c>
      <c r="F48" t="s">
        <v>21</v>
      </c>
      <c r="G48" t="s">
        <v>92</v>
      </c>
      <c r="H48" t="s">
        <v>23</v>
      </c>
      <c r="I48" t="s">
        <v>91</v>
      </c>
      <c r="J48" t="s">
        <v>48</v>
      </c>
      <c r="K48" s="6">
        <f t="shared" si="1"/>
        <v>2.2000000000000002</v>
      </c>
      <c r="L48" t="s">
        <v>64</v>
      </c>
      <c r="M48">
        <f t="shared" si="0"/>
        <v>7</v>
      </c>
      <c r="N48" t="s">
        <v>40</v>
      </c>
      <c r="O48" t="s">
        <v>103</v>
      </c>
      <c r="P48" s="2">
        <v>504</v>
      </c>
      <c r="Q48" t="s">
        <v>74</v>
      </c>
      <c r="R48" t="s">
        <v>75</v>
      </c>
      <c r="S48" t="s">
        <v>31</v>
      </c>
      <c r="T48" t="s">
        <v>32</v>
      </c>
    </row>
    <row r="49" spans="1:20" x14ac:dyDescent="0.25">
      <c r="A49" s="2">
        <v>48</v>
      </c>
      <c r="B49" s="2">
        <v>12840</v>
      </c>
      <c r="C49" t="s">
        <v>33</v>
      </c>
      <c r="D49" t="s">
        <v>66</v>
      </c>
      <c r="E49" t="s">
        <v>79</v>
      </c>
      <c r="F49" t="s">
        <v>80</v>
      </c>
      <c r="G49" t="s">
        <v>81</v>
      </c>
      <c r="H49" t="s">
        <v>46</v>
      </c>
      <c r="I49" t="s">
        <v>24</v>
      </c>
      <c r="J49" t="s">
        <v>25</v>
      </c>
      <c r="K49" s="6">
        <f t="shared" si="1"/>
        <v>1.2</v>
      </c>
      <c r="L49" t="s">
        <v>64</v>
      </c>
      <c r="M49">
        <f t="shared" si="0"/>
        <v>7</v>
      </c>
      <c r="N49" t="s">
        <v>40</v>
      </c>
      <c r="O49" t="s">
        <v>103</v>
      </c>
      <c r="P49" s="2">
        <v>589</v>
      </c>
      <c r="Q49" t="s">
        <v>104</v>
      </c>
      <c r="R49" t="s">
        <v>42</v>
      </c>
      <c r="S49" t="s">
        <v>69</v>
      </c>
      <c r="T49" t="s">
        <v>43</v>
      </c>
    </row>
    <row r="50" spans="1:20" x14ac:dyDescent="0.25">
      <c r="A50" s="2">
        <v>49</v>
      </c>
      <c r="B50" s="2">
        <v>59770</v>
      </c>
      <c r="C50" t="s">
        <v>51</v>
      </c>
      <c r="D50" t="s">
        <v>66</v>
      </c>
      <c r="E50" t="s">
        <v>101</v>
      </c>
      <c r="F50" t="s">
        <v>80</v>
      </c>
      <c r="G50" t="s">
        <v>81</v>
      </c>
      <c r="H50" t="s">
        <v>71</v>
      </c>
      <c r="I50" t="s">
        <v>24</v>
      </c>
      <c r="J50" t="s">
        <v>25</v>
      </c>
      <c r="K50" s="6">
        <f t="shared" si="1"/>
        <v>2.4</v>
      </c>
      <c r="L50" t="s">
        <v>64</v>
      </c>
      <c r="M50">
        <f t="shared" si="0"/>
        <v>7</v>
      </c>
      <c r="N50" t="s">
        <v>27</v>
      </c>
      <c r="O50" t="s">
        <v>103</v>
      </c>
      <c r="P50" s="2">
        <v>197</v>
      </c>
      <c r="Q50" t="s">
        <v>41</v>
      </c>
      <c r="R50" t="s">
        <v>75</v>
      </c>
      <c r="S50" t="s">
        <v>69</v>
      </c>
      <c r="T50" t="s">
        <v>32</v>
      </c>
    </row>
    <row r="51" spans="1:20" x14ac:dyDescent="0.25">
      <c r="A51" s="2">
        <v>50</v>
      </c>
      <c r="B51" s="2">
        <v>37214</v>
      </c>
      <c r="C51" t="s">
        <v>19</v>
      </c>
      <c r="D51" t="s">
        <v>52</v>
      </c>
      <c r="E51" t="s">
        <v>95</v>
      </c>
      <c r="F51" t="s">
        <v>21</v>
      </c>
      <c r="G51" t="s">
        <v>70</v>
      </c>
      <c r="H51" t="s">
        <v>46</v>
      </c>
      <c r="I51" t="s">
        <v>24</v>
      </c>
      <c r="J51" t="s">
        <v>25</v>
      </c>
      <c r="K51" s="6">
        <f t="shared" si="1"/>
        <v>2.4</v>
      </c>
      <c r="L51" t="s">
        <v>49</v>
      </c>
      <c r="M51">
        <f t="shared" si="0"/>
        <v>3</v>
      </c>
      <c r="N51" t="s">
        <v>40</v>
      </c>
      <c r="O51" t="s">
        <v>28</v>
      </c>
      <c r="P51" s="2">
        <v>457</v>
      </c>
      <c r="Q51" t="s">
        <v>74</v>
      </c>
      <c r="R51" t="s">
        <v>30</v>
      </c>
      <c r="S51" t="s">
        <v>31</v>
      </c>
      <c r="T51" t="s">
        <v>43</v>
      </c>
    </row>
    <row r="52" spans="1:20" x14ac:dyDescent="0.25">
      <c r="A52" s="2">
        <v>51</v>
      </c>
      <c r="B52" s="2">
        <v>73533</v>
      </c>
      <c r="C52" t="s">
        <v>51</v>
      </c>
      <c r="D52" t="s">
        <v>66</v>
      </c>
      <c r="E52" t="s">
        <v>44</v>
      </c>
      <c r="F52" t="s">
        <v>44</v>
      </c>
      <c r="G52" t="s">
        <v>70</v>
      </c>
      <c r="H52" t="s">
        <v>73</v>
      </c>
      <c r="I52" t="s">
        <v>67</v>
      </c>
      <c r="J52" t="s">
        <v>25</v>
      </c>
      <c r="K52" s="6">
        <f t="shared" si="1"/>
        <v>2.2000000000000002</v>
      </c>
      <c r="L52" t="s">
        <v>26</v>
      </c>
      <c r="M52">
        <f t="shared" si="0"/>
        <v>1</v>
      </c>
      <c r="N52" t="s">
        <v>27</v>
      </c>
      <c r="O52" t="s">
        <v>72</v>
      </c>
      <c r="P52" s="2">
        <v>1478</v>
      </c>
      <c r="Q52" t="s">
        <v>74</v>
      </c>
      <c r="R52" t="s">
        <v>30</v>
      </c>
      <c r="S52" t="s">
        <v>58</v>
      </c>
      <c r="T52" t="s">
        <v>43</v>
      </c>
    </row>
    <row r="53" spans="1:20" x14ac:dyDescent="0.25">
      <c r="A53" s="2">
        <v>52</v>
      </c>
      <c r="B53" s="2">
        <v>68334</v>
      </c>
      <c r="C53" t="s">
        <v>19</v>
      </c>
      <c r="D53" t="s">
        <v>66</v>
      </c>
      <c r="E53" t="s">
        <v>44</v>
      </c>
      <c r="F53" t="s">
        <v>44</v>
      </c>
      <c r="G53" t="s">
        <v>45</v>
      </c>
      <c r="H53" t="s">
        <v>23</v>
      </c>
      <c r="I53" t="s">
        <v>94</v>
      </c>
      <c r="J53" t="s">
        <v>25</v>
      </c>
      <c r="K53" s="6">
        <f t="shared" si="1"/>
        <v>1.5</v>
      </c>
      <c r="L53" t="s">
        <v>64</v>
      </c>
      <c r="M53">
        <f t="shared" si="0"/>
        <v>7</v>
      </c>
      <c r="N53" t="s">
        <v>27</v>
      </c>
      <c r="O53" t="s">
        <v>28</v>
      </c>
      <c r="P53" s="2">
        <v>781</v>
      </c>
      <c r="Q53" t="s">
        <v>41</v>
      </c>
      <c r="R53" t="s">
        <v>30</v>
      </c>
      <c r="S53" t="s">
        <v>58</v>
      </c>
      <c r="T53" t="s">
        <v>43</v>
      </c>
    </row>
    <row r="54" spans="1:20" x14ac:dyDescent="0.25">
      <c r="A54" s="2">
        <v>53</v>
      </c>
      <c r="B54" s="2">
        <v>32155</v>
      </c>
      <c r="C54" t="s">
        <v>51</v>
      </c>
      <c r="D54" t="s">
        <v>52</v>
      </c>
      <c r="E54" t="s">
        <v>99</v>
      </c>
      <c r="F54" t="s">
        <v>100</v>
      </c>
      <c r="G54" t="s">
        <v>45</v>
      </c>
      <c r="H54" t="s">
        <v>46</v>
      </c>
      <c r="I54" t="s">
        <v>83</v>
      </c>
      <c r="J54" t="s">
        <v>57</v>
      </c>
      <c r="K54" s="6">
        <f t="shared" si="1"/>
        <v>1.1000000000000001</v>
      </c>
      <c r="L54" t="s">
        <v>64</v>
      </c>
      <c r="M54">
        <f t="shared" si="0"/>
        <v>7</v>
      </c>
      <c r="N54" t="s">
        <v>27</v>
      </c>
      <c r="O54" t="s">
        <v>102</v>
      </c>
      <c r="P54" s="2">
        <v>521</v>
      </c>
      <c r="Q54" t="s">
        <v>74</v>
      </c>
      <c r="R54" t="s">
        <v>42</v>
      </c>
      <c r="S54" t="s">
        <v>50</v>
      </c>
      <c r="T54" t="s">
        <v>32</v>
      </c>
    </row>
    <row r="55" spans="1:20" x14ac:dyDescent="0.25">
      <c r="A55" s="2">
        <v>54</v>
      </c>
      <c r="B55" s="2">
        <v>28897</v>
      </c>
      <c r="C55" t="s">
        <v>51</v>
      </c>
      <c r="D55" t="s">
        <v>66</v>
      </c>
      <c r="E55" t="s">
        <v>99</v>
      </c>
      <c r="F55" t="s">
        <v>100</v>
      </c>
      <c r="G55" t="s">
        <v>63</v>
      </c>
      <c r="H55" t="s">
        <v>73</v>
      </c>
      <c r="I55" t="s">
        <v>24</v>
      </c>
      <c r="J55" t="s">
        <v>57</v>
      </c>
      <c r="K55" s="6">
        <f t="shared" si="1"/>
        <v>2.4</v>
      </c>
      <c r="L55" t="s">
        <v>64</v>
      </c>
      <c r="M55">
        <f t="shared" si="0"/>
        <v>7</v>
      </c>
      <c r="N55" t="s">
        <v>27</v>
      </c>
      <c r="O55" t="s">
        <v>72</v>
      </c>
      <c r="P55" s="2">
        <v>1257</v>
      </c>
      <c r="Q55" t="s">
        <v>41</v>
      </c>
      <c r="R55" t="s">
        <v>75</v>
      </c>
      <c r="S55" t="s">
        <v>69</v>
      </c>
      <c r="T55" t="s">
        <v>32</v>
      </c>
    </row>
    <row r="56" spans="1:20" x14ac:dyDescent="0.25">
      <c r="A56" s="2">
        <v>55</v>
      </c>
      <c r="B56" s="2">
        <v>75365</v>
      </c>
      <c r="C56" t="s">
        <v>33</v>
      </c>
      <c r="D56" t="s">
        <v>66</v>
      </c>
      <c r="E56" t="s">
        <v>101</v>
      </c>
      <c r="F56" t="s">
        <v>80</v>
      </c>
      <c r="G56" t="s">
        <v>36</v>
      </c>
      <c r="H56" t="s">
        <v>23</v>
      </c>
      <c r="I56" t="s">
        <v>47</v>
      </c>
      <c r="J56" t="s">
        <v>48</v>
      </c>
      <c r="K56" s="6">
        <f t="shared" si="1"/>
        <v>0.625</v>
      </c>
      <c r="L56" t="s">
        <v>64</v>
      </c>
      <c r="M56">
        <f t="shared" si="0"/>
        <v>7</v>
      </c>
      <c r="N56" t="s">
        <v>27</v>
      </c>
      <c r="O56" t="s">
        <v>103</v>
      </c>
      <c r="P56" s="2">
        <v>415</v>
      </c>
      <c r="Q56" t="s">
        <v>29</v>
      </c>
      <c r="R56" t="s">
        <v>68</v>
      </c>
      <c r="S56" t="s">
        <v>31</v>
      </c>
      <c r="T56" t="s">
        <v>32</v>
      </c>
    </row>
    <row r="57" spans="1:20" x14ac:dyDescent="0.25">
      <c r="A57" s="2">
        <v>56</v>
      </c>
      <c r="B57" s="2">
        <v>54775</v>
      </c>
      <c r="C57" t="s">
        <v>19</v>
      </c>
      <c r="D57" t="s">
        <v>66</v>
      </c>
      <c r="E57" t="s">
        <v>84</v>
      </c>
      <c r="F57" t="s">
        <v>85</v>
      </c>
      <c r="G57" t="s">
        <v>92</v>
      </c>
      <c r="H57" t="s">
        <v>46</v>
      </c>
      <c r="I57" t="s">
        <v>38</v>
      </c>
      <c r="J57" t="s">
        <v>86</v>
      </c>
      <c r="K57" s="6">
        <f t="shared" si="1"/>
        <v>2</v>
      </c>
      <c r="L57" t="s">
        <v>64</v>
      </c>
      <c r="M57">
        <f t="shared" si="0"/>
        <v>7</v>
      </c>
      <c r="N57" t="s">
        <v>27</v>
      </c>
      <c r="O57" t="s">
        <v>82</v>
      </c>
      <c r="P57" s="2">
        <v>338</v>
      </c>
      <c r="Q57" t="s">
        <v>29</v>
      </c>
      <c r="R57" t="s">
        <v>30</v>
      </c>
      <c r="S57" t="s">
        <v>58</v>
      </c>
      <c r="T57" t="s">
        <v>32</v>
      </c>
    </row>
    <row r="58" spans="1:20" x14ac:dyDescent="0.25">
      <c r="A58" s="2">
        <v>57</v>
      </c>
      <c r="B58" s="2">
        <v>27661</v>
      </c>
      <c r="C58" t="s">
        <v>19</v>
      </c>
      <c r="D58" t="s">
        <v>66</v>
      </c>
      <c r="E58" t="s">
        <v>20</v>
      </c>
      <c r="F58" t="s">
        <v>21</v>
      </c>
      <c r="G58" t="s">
        <v>55</v>
      </c>
      <c r="H58" t="s">
        <v>71</v>
      </c>
      <c r="I58" t="s">
        <v>24</v>
      </c>
      <c r="J58" t="s">
        <v>25</v>
      </c>
      <c r="K58" s="6">
        <f t="shared" si="1"/>
        <v>0.6</v>
      </c>
      <c r="L58" t="s">
        <v>64</v>
      </c>
      <c r="M58">
        <f t="shared" si="0"/>
        <v>7</v>
      </c>
      <c r="N58" t="s">
        <v>27</v>
      </c>
      <c r="O58" t="s">
        <v>72</v>
      </c>
      <c r="P58" s="2">
        <v>259</v>
      </c>
      <c r="Q58" t="s">
        <v>74</v>
      </c>
      <c r="R58" t="s">
        <v>68</v>
      </c>
      <c r="S58" t="s">
        <v>58</v>
      </c>
      <c r="T58" t="s">
        <v>32</v>
      </c>
    </row>
    <row r="59" spans="1:20" x14ac:dyDescent="0.25">
      <c r="A59" s="2">
        <v>58</v>
      </c>
      <c r="B59" s="2">
        <v>84003</v>
      </c>
      <c r="C59" t="s">
        <v>60</v>
      </c>
      <c r="D59" t="s">
        <v>66</v>
      </c>
      <c r="E59" t="s">
        <v>20</v>
      </c>
      <c r="F59" t="s">
        <v>21</v>
      </c>
      <c r="G59" t="s">
        <v>70</v>
      </c>
      <c r="H59" t="s">
        <v>73</v>
      </c>
      <c r="I59" t="s">
        <v>24</v>
      </c>
      <c r="J59" t="s">
        <v>25</v>
      </c>
      <c r="K59" s="6">
        <f t="shared" si="1"/>
        <v>0.6</v>
      </c>
      <c r="L59" t="s">
        <v>26</v>
      </c>
      <c r="M59">
        <f t="shared" si="0"/>
        <v>1</v>
      </c>
      <c r="N59" t="s">
        <v>40</v>
      </c>
      <c r="O59" t="s">
        <v>82</v>
      </c>
      <c r="P59" s="2">
        <v>1297</v>
      </c>
      <c r="Q59" t="s">
        <v>41</v>
      </c>
      <c r="R59" t="s">
        <v>68</v>
      </c>
      <c r="S59" t="s">
        <v>58</v>
      </c>
      <c r="T59" t="s">
        <v>32</v>
      </c>
    </row>
    <row r="60" spans="1:20" x14ac:dyDescent="0.25">
      <c r="A60" s="2">
        <v>59</v>
      </c>
      <c r="B60" s="2">
        <v>17222</v>
      </c>
      <c r="C60" t="s">
        <v>51</v>
      </c>
      <c r="D60" t="s">
        <v>66</v>
      </c>
      <c r="E60" t="s">
        <v>99</v>
      </c>
      <c r="F60" t="s">
        <v>100</v>
      </c>
      <c r="G60" t="s">
        <v>92</v>
      </c>
      <c r="H60" t="s">
        <v>23</v>
      </c>
      <c r="I60" t="s">
        <v>94</v>
      </c>
      <c r="J60" t="s">
        <v>57</v>
      </c>
      <c r="K60" s="6">
        <f t="shared" si="1"/>
        <v>1.5</v>
      </c>
      <c r="L60" t="s">
        <v>49</v>
      </c>
      <c r="M60">
        <f t="shared" si="0"/>
        <v>3</v>
      </c>
      <c r="N60" t="s">
        <v>27</v>
      </c>
      <c r="O60" t="s">
        <v>103</v>
      </c>
      <c r="P60" s="2">
        <v>744</v>
      </c>
      <c r="Q60" t="s">
        <v>74</v>
      </c>
      <c r="R60" t="s">
        <v>75</v>
      </c>
      <c r="S60" t="s">
        <v>69</v>
      </c>
      <c r="T60" t="s">
        <v>32</v>
      </c>
    </row>
    <row r="61" spans="1:20" x14ac:dyDescent="0.25">
      <c r="A61" s="2">
        <v>60</v>
      </c>
      <c r="B61" s="2">
        <v>65569</v>
      </c>
      <c r="C61" t="s">
        <v>19</v>
      </c>
      <c r="D61" t="s">
        <v>52</v>
      </c>
      <c r="E61" t="s">
        <v>97</v>
      </c>
      <c r="F61" t="s">
        <v>62</v>
      </c>
      <c r="G61" t="s">
        <v>98</v>
      </c>
      <c r="H61" t="s">
        <v>46</v>
      </c>
      <c r="I61" t="s">
        <v>83</v>
      </c>
      <c r="J61" t="s">
        <v>57</v>
      </c>
      <c r="K61" s="6">
        <f t="shared" si="1"/>
        <v>2.2000000000000002</v>
      </c>
      <c r="L61" t="s">
        <v>64</v>
      </c>
      <c r="M61">
        <f t="shared" si="0"/>
        <v>7</v>
      </c>
      <c r="N61" t="s">
        <v>27</v>
      </c>
      <c r="O61" t="s">
        <v>82</v>
      </c>
      <c r="P61" s="2">
        <v>459</v>
      </c>
      <c r="Q61" t="s">
        <v>104</v>
      </c>
      <c r="R61" t="s">
        <v>30</v>
      </c>
      <c r="S61" t="s">
        <v>69</v>
      </c>
      <c r="T61" t="s">
        <v>59</v>
      </c>
    </row>
    <row r="62" spans="1:20" x14ac:dyDescent="0.25">
      <c r="A62" s="2">
        <v>61</v>
      </c>
      <c r="B62" s="2">
        <v>63561</v>
      </c>
      <c r="C62" t="s">
        <v>33</v>
      </c>
      <c r="D62" t="s">
        <v>66</v>
      </c>
      <c r="E62" t="s">
        <v>79</v>
      </c>
      <c r="F62" t="s">
        <v>80</v>
      </c>
      <c r="G62" t="s">
        <v>55</v>
      </c>
      <c r="H62" t="s">
        <v>71</v>
      </c>
      <c r="I62" t="s">
        <v>47</v>
      </c>
      <c r="J62" t="s">
        <v>25</v>
      </c>
      <c r="K62" s="6">
        <f t="shared" si="1"/>
        <v>2.5</v>
      </c>
      <c r="L62" t="s">
        <v>49</v>
      </c>
      <c r="M62">
        <f t="shared" si="0"/>
        <v>3</v>
      </c>
      <c r="N62" t="s">
        <v>27</v>
      </c>
      <c r="O62" t="s">
        <v>103</v>
      </c>
      <c r="P62" s="2">
        <v>204</v>
      </c>
      <c r="Q62" t="s">
        <v>74</v>
      </c>
      <c r="R62" t="s">
        <v>30</v>
      </c>
      <c r="S62" t="s">
        <v>58</v>
      </c>
      <c r="T62" t="s">
        <v>43</v>
      </c>
    </row>
    <row r="63" spans="1:20" x14ac:dyDescent="0.25">
      <c r="A63" s="2">
        <v>62</v>
      </c>
      <c r="B63" s="2">
        <v>79104</v>
      </c>
      <c r="C63" t="s">
        <v>19</v>
      </c>
      <c r="D63" t="s">
        <v>66</v>
      </c>
      <c r="E63" t="s">
        <v>99</v>
      </c>
      <c r="F63" t="s">
        <v>100</v>
      </c>
      <c r="G63" t="s">
        <v>70</v>
      </c>
      <c r="H63" t="s">
        <v>46</v>
      </c>
      <c r="I63" t="s">
        <v>56</v>
      </c>
      <c r="J63" t="s">
        <v>57</v>
      </c>
      <c r="K63" s="6">
        <f t="shared" si="1"/>
        <v>2.2000000000000002</v>
      </c>
      <c r="L63" t="s">
        <v>64</v>
      </c>
      <c r="M63">
        <f t="shared" si="0"/>
        <v>7</v>
      </c>
      <c r="N63" t="s">
        <v>27</v>
      </c>
      <c r="O63" t="s">
        <v>102</v>
      </c>
      <c r="P63" s="2">
        <v>581</v>
      </c>
      <c r="Q63" t="s">
        <v>41</v>
      </c>
      <c r="R63" t="s">
        <v>75</v>
      </c>
      <c r="S63" t="s">
        <v>69</v>
      </c>
      <c r="T63" t="s">
        <v>32</v>
      </c>
    </row>
    <row r="64" spans="1:20" x14ac:dyDescent="0.25">
      <c r="A64" s="2">
        <v>63</v>
      </c>
      <c r="B64" s="2">
        <v>78167</v>
      </c>
      <c r="C64" t="s">
        <v>33</v>
      </c>
      <c r="D64" t="s">
        <v>66</v>
      </c>
      <c r="E64" t="s">
        <v>99</v>
      </c>
      <c r="F64" t="s">
        <v>100</v>
      </c>
      <c r="G64" t="s">
        <v>22</v>
      </c>
      <c r="H64" t="s">
        <v>46</v>
      </c>
      <c r="I64" t="s">
        <v>94</v>
      </c>
      <c r="J64" t="s">
        <v>57</v>
      </c>
      <c r="K64" s="6">
        <f t="shared" si="1"/>
        <v>0.375</v>
      </c>
      <c r="L64" t="s">
        <v>64</v>
      </c>
      <c r="M64">
        <f t="shared" si="0"/>
        <v>7</v>
      </c>
      <c r="N64" t="s">
        <v>27</v>
      </c>
      <c r="O64" t="s">
        <v>103</v>
      </c>
      <c r="P64" s="2">
        <v>444</v>
      </c>
      <c r="Q64" t="s">
        <v>104</v>
      </c>
      <c r="R64" t="s">
        <v>68</v>
      </c>
      <c r="S64" t="s">
        <v>58</v>
      </c>
      <c r="T64" t="s">
        <v>32</v>
      </c>
    </row>
    <row r="65" spans="1:20" x14ac:dyDescent="0.25">
      <c r="A65" s="2">
        <v>64</v>
      </c>
      <c r="B65" s="2">
        <v>20528</v>
      </c>
      <c r="C65" t="s">
        <v>51</v>
      </c>
      <c r="D65" t="s">
        <v>66</v>
      </c>
      <c r="E65" t="s">
        <v>95</v>
      </c>
      <c r="F65" t="s">
        <v>21</v>
      </c>
      <c r="G65" t="s">
        <v>36</v>
      </c>
      <c r="H65" t="s">
        <v>71</v>
      </c>
      <c r="I65" t="s">
        <v>83</v>
      </c>
      <c r="J65" t="s">
        <v>57</v>
      </c>
      <c r="K65" s="6">
        <f t="shared" si="1"/>
        <v>1.1000000000000001</v>
      </c>
      <c r="L65" t="s">
        <v>26</v>
      </c>
      <c r="M65">
        <f t="shared" si="0"/>
        <v>1</v>
      </c>
      <c r="N65" t="s">
        <v>40</v>
      </c>
      <c r="O65" t="s">
        <v>102</v>
      </c>
      <c r="P65" s="2">
        <v>176</v>
      </c>
      <c r="Q65" t="s">
        <v>41</v>
      </c>
      <c r="R65" t="s">
        <v>42</v>
      </c>
      <c r="S65" t="s">
        <v>69</v>
      </c>
      <c r="T65" t="s">
        <v>43</v>
      </c>
    </row>
    <row r="66" spans="1:20" x14ac:dyDescent="0.25">
      <c r="A66" s="2">
        <v>65</v>
      </c>
      <c r="B66" s="2">
        <v>63750</v>
      </c>
      <c r="C66" t="s">
        <v>33</v>
      </c>
      <c r="D66" t="s">
        <v>52</v>
      </c>
      <c r="E66" t="s">
        <v>76</v>
      </c>
      <c r="F66" t="s">
        <v>77</v>
      </c>
      <c r="G66" t="s">
        <v>70</v>
      </c>
      <c r="H66" t="s">
        <v>23</v>
      </c>
      <c r="I66" t="s">
        <v>24</v>
      </c>
      <c r="J66" t="s">
        <v>57</v>
      </c>
      <c r="K66" s="6">
        <f t="shared" si="1"/>
        <v>2.4</v>
      </c>
      <c r="L66" t="s">
        <v>64</v>
      </c>
      <c r="M66">
        <f t="shared" ref="M66:M129" si="2">IF(L66="daily",7,IF(L66="weekly",3,1))</f>
        <v>7</v>
      </c>
      <c r="N66" t="s">
        <v>27</v>
      </c>
      <c r="O66" t="s">
        <v>82</v>
      </c>
      <c r="P66" s="2">
        <v>768</v>
      </c>
      <c r="Q66" t="s">
        <v>74</v>
      </c>
      <c r="R66" t="s">
        <v>75</v>
      </c>
      <c r="S66" t="s">
        <v>50</v>
      </c>
      <c r="T66" t="s">
        <v>43</v>
      </c>
    </row>
    <row r="67" spans="1:20" x14ac:dyDescent="0.25">
      <c r="A67" s="2">
        <v>66</v>
      </c>
      <c r="B67" s="2">
        <v>33750</v>
      </c>
      <c r="C67" t="s">
        <v>33</v>
      </c>
      <c r="D67" t="s">
        <v>66</v>
      </c>
      <c r="E67" t="s">
        <v>101</v>
      </c>
      <c r="F67" t="s">
        <v>80</v>
      </c>
      <c r="G67" t="s">
        <v>63</v>
      </c>
      <c r="H67" t="s">
        <v>23</v>
      </c>
      <c r="I67" t="s">
        <v>47</v>
      </c>
      <c r="J67" t="s">
        <v>48</v>
      </c>
      <c r="K67" s="6">
        <f t="shared" ref="K67:K130" si="3">IF(R67="Morning",2,IF(R67="Night",2,IF(R67="Evening",1,0.5)))
*
IF(I67="Espresso",0.75,IF(I67="Cold Brew",1.25,IF(I67="Filter Coffee",1.2,IF(I67="Instant Coffee",1,1.1))))</f>
        <v>2.5</v>
      </c>
      <c r="L67" t="s">
        <v>64</v>
      </c>
      <c r="M67">
        <f t="shared" si="2"/>
        <v>7</v>
      </c>
      <c r="N67" t="s">
        <v>40</v>
      </c>
      <c r="O67" t="s">
        <v>28</v>
      </c>
      <c r="P67" s="2">
        <v>713</v>
      </c>
      <c r="Q67" t="s">
        <v>104</v>
      </c>
      <c r="R67" t="s">
        <v>30</v>
      </c>
      <c r="S67" t="s">
        <v>69</v>
      </c>
      <c r="T67" t="s">
        <v>32</v>
      </c>
    </row>
    <row r="68" spans="1:20" x14ac:dyDescent="0.25">
      <c r="A68" s="2">
        <v>67</v>
      </c>
      <c r="B68" s="2">
        <v>25024</v>
      </c>
      <c r="C68" t="s">
        <v>19</v>
      </c>
      <c r="D68" t="s">
        <v>66</v>
      </c>
      <c r="E68" t="s">
        <v>61</v>
      </c>
      <c r="F68" t="s">
        <v>62</v>
      </c>
      <c r="G68" t="s">
        <v>98</v>
      </c>
      <c r="H68" t="s">
        <v>71</v>
      </c>
      <c r="I68" t="s">
        <v>38</v>
      </c>
      <c r="J68" t="s">
        <v>25</v>
      </c>
      <c r="K68" s="6">
        <f t="shared" si="3"/>
        <v>2</v>
      </c>
      <c r="L68" t="s">
        <v>49</v>
      </c>
      <c r="M68">
        <f t="shared" si="2"/>
        <v>3</v>
      </c>
      <c r="N68" t="s">
        <v>40</v>
      </c>
      <c r="O68" t="s">
        <v>72</v>
      </c>
      <c r="P68" s="2">
        <v>154</v>
      </c>
      <c r="Q68" t="s">
        <v>74</v>
      </c>
      <c r="R68" t="s">
        <v>30</v>
      </c>
      <c r="S68" t="s">
        <v>58</v>
      </c>
      <c r="T68" t="s">
        <v>59</v>
      </c>
    </row>
    <row r="69" spans="1:20" x14ac:dyDescent="0.25">
      <c r="A69" s="2">
        <v>68</v>
      </c>
      <c r="B69" s="2">
        <v>58491</v>
      </c>
      <c r="C69" t="s">
        <v>51</v>
      </c>
      <c r="D69" t="s">
        <v>66</v>
      </c>
      <c r="E69" t="s">
        <v>44</v>
      </c>
      <c r="F69" t="s">
        <v>44</v>
      </c>
      <c r="G69" t="s">
        <v>70</v>
      </c>
      <c r="H69" t="s">
        <v>46</v>
      </c>
      <c r="I69" t="s">
        <v>47</v>
      </c>
      <c r="J69" t="s">
        <v>57</v>
      </c>
      <c r="K69" s="6">
        <f t="shared" si="3"/>
        <v>1.25</v>
      </c>
      <c r="L69" t="s">
        <v>64</v>
      </c>
      <c r="M69">
        <f t="shared" si="2"/>
        <v>7</v>
      </c>
      <c r="N69" t="s">
        <v>27</v>
      </c>
      <c r="O69" t="s">
        <v>102</v>
      </c>
      <c r="P69" s="2">
        <v>286</v>
      </c>
      <c r="Q69" t="s">
        <v>74</v>
      </c>
      <c r="R69" t="s">
        <v>42</v>
      </c>
      <c r="S69" t="s">
        <v>58</v>
      </c>
      <c r="T69" t="s">
        <v>43</v>
      </c>
    </row>
    <row r="70" spans="1:20" x14ac:dyDescent="0.25">
      <c r="A70" s="2">
        <v>69</v>
      </c>
      <c r="B70" s="2">
        <v>40401</v>
      </c>
      <c r="C70" t="s">
        <v>51</v>
      </c>
      <c r="D70" t="s">
        <v>66</v>
      </c>
      <c r="E70" t="s">
        <v>89</v>
      </c>
      <c r="F70" t="s">
        <v>90</v>
      </c>
      <c r="G70" t="s">
        <v>70</v>
      </c>
      <c r="H70" t="s">
        <v>23</v>
      </c>
      <c r="I70" t="s">
        <v>91</v>
      </c>
      <c r="J70" t="s">
        <v>86</v>
      </c>
      <c r="K70" s="6">
        <f t="shared" si="3"/>
        <v>1.1000000000000001</v>
      </c>
      <c r="L70" t="s">
        <v>26</v>
      </c>
      <c r="M70">
        <f t="shared" si="2"/>
        <v>1</v>
      </c>
      <c r="N70" t="s">
        <v>40</v>
      </c>
      <c r="O70" t="s">
        <v>82</v>
      </c>
      <c r="P70" s="2">
        <v>669</v>
      </c>
      <c r="Q70" t="s">
        <v>74</v>
      </c>
      <c r="R70" t="s">
        <v>42</v>
      </c>
      <c r="S70" t="s">
        <v>58</v>
      </c>
      <c r="T70" t="s">
        <v>59</v>
      </c>
    </row>
    <row r="71" spans="1:20" x14ac:dyDescent="0.25">
      <c r="A71" s="2">
        <v>70</v>
      </c>
      <c r="B71" s="2">
        <v>51795</v>
      </c>
      <c r="C71" t="s">
        <v>19</v>
      </c>
      <c r="D71" t="s">
        <v>52</v>
      </c>
      <c r="E71" t="s">
        <v>84</v>
      </c>
      <c r="F71" t="s">
        <v>85</v>
      </c>
      <c r="G71" t="s">
        <v>55</v>
      </c>
      <c r="H71" t="s">
        <v>71</v>
      </c>
      <c r="I71" t="s">
        <v>83</v>
      </c>
      <c r="J71" t="s">
        <v>57</v>
      </c>
      <c r="K71" s="6">
        <f t="shared" si="3"/>
        <v>2.2000000000000002</v>
      </c>
      <c r="L71" t="s">
        <v>64</v>
      </c>
      <c r="M71">
        <f t="shared" si="2"/>
        <v>7</v>
      </c>
      <c r="N71" t="s">
        <v>27</v>
      </c>
      <c r="O71" t="s">
        <v>28</v>
      </c>
      <c r="P71" s="2">
        <v>201</v>
      </c>
      <c r="Q71" t="s">
        <v>104</v>
      </c>
      <c r="R71" t="s">
        <v>30</v>
      </c>
      <c r="S71" t="s">
        <v>50</v>
      </c>
      <c r="T71" t="s">
        <v>32</v>
      </c>
    </row>
    <row r="72" spans="1:20" x14ac:dyDescent="0.25">
      <c r="A72" s="2">
        <v>71</v>
      </c>
      <c r="B72" s="2">
        <v>61502</v>
      </c>
      <c r="C72" t="s">
        <v>33</v>
      </c>
      <c r="D72" t="s">
        <v>66</v>
      </c>
      <c r="E72" t="s">
        <v>97</v>
      </c>
      <c r="F72" t="s">
        <v>62</v>
      </c>
      <c r="G72" t="s">
        <v>70</v>
      </c>
      <c r="H72" t="s">
        <v>46</v>
      </c>
      <c r="I72" t="s">
        <v>83</v>
      </c>
      <c r="J72" t="s">
        <v>57</v>
      </c>
      <c r="K72" s="6">
        <f t="shared" si="3"/>
        <v>2.2000000000000002</v>
      </c>
      <c r="L72" t="s">
        <v>64</v>
      </c>
      <c r="M72">
        <f t="shared" si="2"/>
        <v>7</v>
      </c>
      <c r="N72" t="s">
        <v>104</v>
      </c>
      <c r="O72" t="s">
        <v>103</v>
      </c>
      <c r="P72" s="2">
        <v>345</v>
      </c>
      <c r="Q72" t="s">
        <v>41</v>
      </c>
      <c r="R72" t="s">
        <v>30</v>
      </c>
      <c r="S72" t="s">
        <v>31</v>
      </c>
      <c r="T72" t="s">
        <v>59</v>
      </c>
    </row>
    <row r="73" spans="1:20" x14ac:dyDescent="0.25">
      <c r="A73" s="2">
        <v>72</v>
      </c>
      <c r="B73" s="2">
        <v>19268</v>
      </c>
      <c r="C73" t="s">
        <v>51</v>
      </c>
      <c r="D73" t="s">
        <v>66</v>
      </c>
      <c r="E73" t="s">
        <v>34</v>
      </c>
      <c r="F73" t="s">
        <v>35</v>
      </c>
      <c r="G73" t="s">
        <v>70</v>
      </c>
      <c r="H73" t="s">
        <v>46</v>
      </c>
      <c r="I73" t="s">
        <v>83</v>
      </c>
      <c r="J73" t="s">
        <v>39</v>
      </c>
      <c r="K73" s="6">
        <f t="shared" si="3"/>
        <v>2.2000000000000002</v>
      </c>
      <c r="L73" t="s">
        <v>64</v>
      </c>
      <c r="M73">
        <f t="shared" si="2"/>
        <v>7</v>
      </c>
      <c r="N73" t="s">
        <v>40</v>
      </c>
      <c r="O73" t="s">
        <v>103</v>
      </c>
      <c r="P73" s="2">
        <v>532</v>
      </c>
      <c r="Q73" t="s">
        <v>104</v>
      </c>
      <c r="R73" t="s">
        <v>30</v>
      </c>
      <c r="S73" t="s">
        <v>58</v>
      </c>
      <c r="T73" t="s">
        <v>43</v>
      </c>
    </row>
    <row r="74" spans="1:20" x14ac:dyDescent="0.25">
      <c r="A74" s="2">
        <v>73</v>
      </c>
      <c r="B74" s="2">
        <v>62295</v>
      </c>
      <c r="C74" t="s">
        <v>60</v>
      </c>
      <c r="D74" t="s">
        <v>66</v>
      </c>
      <c r="E74" t="s">
        <v>101</v>
      </c>
      <c r="F74" t="s">
        <v>80</v>
      </c>
      <c r="G74" t="s">
        <v>78</v>
      </c>
      <c r="H74" t="s">
        <v>46</v>
      </c>
      <c r="I74" t="s">
        <v>24</v>
      </c>
      <c r="J74" t="s">
        <v>25</v>
      </c>
      <c r="K74" s="6">
        <f t="shared" si="3"/>
        <v>2.4</v>
      </c>
      <c r="L74" t="s">
        <v>49</v>
      </c>
      <c r="M74">
        <f t="shared" si="2"/>
        <v>3</v>
      </c>
      <c r="N74" t="s">
        <v>27</v>
      </c>
      <c r="O74" t="s">
        <v>28</v>
      </c>
      <c r="P74" s="2">
        <v>460</v>
      </c>
      <c r="Q74" t="s">
        <v>104</v>
      </c>
      <c r="R74" t="s">
        <v>75</v>
      </c>
      <c r="S74" t="s">
        <v>58</v>
      </c>
      <c r="T74" t="s">
        <v>32</v>
      </c>
    </row>
    <row r="75" spans="1:20" x14ac:dyDescent="0.25">
      <c r="A75" s="2">
        <v>74</v>
      </c>
      <c r="B75" s="2">
        <v>90085</v>
      </c>
      <c r="C75" t="s">
        <v>51</v>
      </c>
      <c r="D75" t="s">
        <v>52</v>
      </c>
      <c r="E75" t="s">
        <v>44</v>
      </c>
      <c r="F75" t="s">
        <v>44</v>
      </c>
      <c r="G75" t="s">
        <v>98</v>
      </c>
      <c r="H75" t="s">
        <v>46</v>
      </c>
      <c r="I75" t="s">
        <v>56</v>
      </c>
      <c r="J75" t="s">
        <v>57</v>
      </c>
      <c r="K75" s="6">
        <f t="shared" si="3"/>
        <v>2.2000000000000002</v>
      </c>
      <c r="L75" t="s">
        <v>26</v>
      </c>
      <c r="M75">
        <f t="shared" si="2"/>
        <v>1</v>
      </c>
      <c r="N75" t="s">
        <v>27</v>
      </c>
      <c r="O75" t="s">
        <v>82</v>
      </c>
      <c r="P75" s="2">
        <v>470</v>
      </c>
      <c r="Q75" t="s">
        <v>104</v>
      </c>
      <c r="R75" t="s">
        <v>75</v>
      </c>
      <c r="S75" t="s">
        <v>69</v>
      </c>
      <c r="T75" t="s">
        <v>43</v>
      </c>
    </row>
    <row r="76" spans="1:20" x14ac:dyDescent="0.25">
      <c r="A76" s="2">
        <v>75</v>
      </c>
      <c r="B76" s="2">
        <v>82713</v>
      </c>
      <c r="C76" t="s">
        <v>19</v>
      </c>
      <c r="D76" t="s">
        <v>52</v>
      </c>
      <c r="E76" t="s">
        <v>87</v>
      </c>
      <c r="F76" t="s">
        <v>88</v>
      </c>
      <c r="G76" t="s">
        <v>36</v>
      </c>
      <c r="H76" t="s">
        <v>71</v>
      </c>
      <c r="I76" t="s">
        <v>83</v>
      </c>
      <c r="J76" t="s">
        <v>57</v>
      </c>
      <c r="K76" s="6">
        <f t="shared" si="3"/>
        <v>2.2000000000000002</v>
      </c>
      <c r="L76" t="s">
        <v>64</v>
      </c>
      <c r="M76">
        <f t="shared" si="2"/>
        <v>7</v>
      </c>
      <c r="N76" t="s">
        <v>40</v>
      </c>
      <c r="O76" t="s">
        <v>82</v>
      </c>
      <c r="P76" s="2">
        <v>210</v>
      </c>
      <c r="Q76" t="s">
        <v>104</v>
      </c>
      <c r="R76" t="s">
        <v>30</v>
      </c>
      <c r="S76" t="s">
        <v>58</v>
      </c>
      <c r="T76" t="s">
        <v>59</v>
      </c>
    </row>
    <row r="77" spans="1:20" x14ac:dyDescent="0.25">
      <c r="A77" s="2">
        <v>76</v>
      </c>
      <c r="B77" s="2">
        <v>29176</v>
      </c>
      <c r="C77" t="s">
        <v>19</v>
      </c>
      <c r="D77" t="s">
        <v>66</v>
      </c>
      <c r="E77" t="s">
        <v>101</v>
      </c>
      <c r="F77" t="s">
        <v>80</v>
      </c>
      <c r="G77" t="s">
        <v>92</v>
      </c>
      <c r="H77" t="s">
        <v>71</v>
      </c>
      <c r="I77" t="s">
        <v>24</v>
      </c>
      <c r="J77" t="s">
        <v>25</v>
      </c>
      <c r="K77" s="6">
        <f t="shared" si="3"/>
        <v>2.4</v>
      </c>
      <c r="L77" t="s">
        <v>64</v>
      </c>
      <c r="M77">
        <f t="shared" si="2"/>
        <v>7</v>
      </c>
      <c r="N77" t="s">
        <v>40</v>
      </c>
      <c r="O77" t="s">
        <v>65</v>
      </c>
      <c r="P77" s="2">
        <v>227</v>
      </c>
      <c r="Q77" t="s">
        <v>104</v>
      </c>
      <c r="R77" t="s">
        <v>75</v>
      </c>
      <c r="S77" t="s">
        <v>58</v>
      </c>
      <c r="T77" t="s">
        <v>32</v>
      </c>
    </row>
    <row r="78" spans="1:20" x14ac:dyDescent="0.25">
      <c r="A78" s="2">
        <v>77</v>
      </c>
      <c r="B78" s="2">
        <v>18076</v>
      </c>
      <c r="C78" t="s">
        <v>96</v>
      </c>
      <c r="D78" t="s">
        <v>52</v>
      </c>
      <c r="E78" t="s">
        <v>61</v>
      </c>
      <c r="F78" t="s">
        <v>62</v>
      </c>
      <c r="G78" t="s">
        <v>63</v>
      </c>
      <c r="H78" t="s">
        <v>46</v>
      </c>
      <c r="I78" t="s">
        <v>67</v>
      </c>
      <c r="J78" t="s">
        <v>25</v>
      </c>
      <c r="K78" s="6">
        <f t="shared" si="3"/>
        <v>1.1000000000000001</v>
      </c>
      <c r="L78" t="s">
        <v>64</v>
      </c>
      <c r="M78">
        <f t="shared" si="2"/>
        <v>7</v>
      </c>
      <c r="N78" t="s">
        <v>104</v>
      </c>
      <c r="O78" t="s">
        <v>103</v>
      </c>
      <c r="P78" s="2">
        <v>450</v>
      </c>
      <c r="Q78" t="s">
        <v>29</v>
      </c>
      <c r="R78" t="s">
        <v>42</v>
      </c>
      <c r="S78" t="s">
        <v>31</v>
      </c>
      <c r="T78" t="s">
        <v>59</v>
      </c>
    </row>
    <row r="79" spans="1:20" x14ac:dyDescent="0.25">
      <c r="A79" s="2">
        <v>78</v>
      </c>
      <c r="B79" s="2">
        <v>80978</v>
      </c>
      <c r="C79" t="s">
        <v>19</v>
      </c>
      <c r="D79" t="s">
        <v>52</v>
      </c>
      <c r="E79" t="s">
        <v>101</v>
      </c>
      <c r="F79" t="s">
        <v>80</v>
      </c>
      <c r="G79" t="s">
        <v>98</v>
      </c>
      <c r="H79" t="s">
        <v>23</v>
      </c>
      <c r="I79" t="s">
        <v>24</v>
      </c>
      <c r="J79" t="s">
        <v>25</v>
      </c>
      <c r="K79" s="6">
        <f t="shared" si="3"/>
        <v>2.4</v>
      </c>
      <c r="L79" t="s">
        <v>49</v>
      </c>
      <c r="M79">
        <f t="shared" si="2"/>
        <v>3</v>
      </c>
      <c r="N79" t="s">
        <v>104</v>
      </c>
      <c r="O79" t="s">
        <v>103</v>
      </c>
      <c r="P79" s="2">
        <v>752</v>
      </c>
      <c r="Q79" t="s">
        <v>41</v>
      </c>
      <c r="R79" t="s">
        <v>30</v>
      </c>
      <c r="S79" t="s">
        <v>31</v>
      </c>
      <c r="T79" t="s">
        <v>32</v>
      </c>
    </row>
    <row r="80" spans="1:20" x14ac:dyDescent="0.25">
      <c r="A80" s="2">
        <v>79</v>
      </c>
      <c r="B80" s="2">
        <v>29288</v>
      </c>
      <c r="C80" t="s">
        <v>19</v>
      </c>
      <c r="D80" t="s">
        <v>52</v>
      </c>
      <c r="E80" t="s">
        <v>44</v>
      </c>
      <c r="F80" t="s">
        <v>44</v>
      </c>
      <c r="G80" t="s">
        <v>45</v>
      </c>
      <c r="H80" t="s">
        <v>37</v>
      </c>
      <c r="I80" t="s">
        <v>47</v>
      </c>
      <c r="J80" t="s">
        <v>57</v>
      </c>
      <c r="K80" s="6">
        <f t="shared" si="3"/>
        <v>2.5</v>
      </c>
      <c r="L80" t="s">
        <v>49</v>
      </c>
      <c r="M80">
        <f t="shared" si="2"/>
        <v>3</v>
      </c>
      <c r="N80" t="s">
        <v>27</v>
      </c>
      <c r="O80" t="s">
        <v>65</v>
      </c>
      <c r="P80" s="2">
        <v>2453</v>
      </c>
      <c r="Q80" t="s">
        <v>104</v>
      </c>
      <c r="R80" t="s">
        <v>75</v>
      </c>
      <c r="S80" t="s">
        <v>69</v>
      </c>
      <c r="T80" t="s">
        <v>43</v>
      </c>
    </row>
    <row r="81" spans="1:20" x14ac:dyDescent="0.25">
      <c r="A81" s="2">
        <v>80</v>
      </c>
      <c r="B81" s="2">
        <v>59021</v>
      </c>
      <c r="C81" t="s">
        <v>51</v>
      </c>
      <c r="D81" t="s">
        <v>66</v>
      </c>
      <c r="E81" t="s">
        <v>53</v>
      </c>
      <c r="F81" t="s">
        <v>54</v>
      </c>
      <c r="G81" t="s">
        <v>81</v>
      </c>
      <c r="H81" t="s">
        <v>23</v>
      </c>
      <c r="I81" t="s">
        <v>83</v>
      </c>
      <c r="J81" t="s">
        <v>25</v>
      </c>
      <c r="K81" s="6">
        <f t="shared" si="3"/>
        <v>2.2000000000000002</v>
      </c>
      <c r="L81" t="s">
        <v>64</v>
      </c>
      <c r="M81">
        <f t="shared" si="2"/>
        <v>7</v>
      </c>
      <c r="N81" t="s">
        <v>27</v>
      </c>
      <c r="O81" t="s">
        <v>103</v>
      </c>
      <c r="P81" s="2">
        <v>827</v>
      </c>
      <c r="Q81" t="s">
        <v>29</v>
      </c>
      <c r="R81" t="s">
        <v>75</v>
      </c>
      <c r="S81" t="s">
        <v>69</v>
      </c>
      <c r="T81" t="s">
        <v>59</v>
      </c>
    </row>
    <row r="82" spans="1:20" x14ac:dyDescent="0.25">
      <c r="A82" s="2">
        <v>81</v>
      </c>
      <c r="B82" s="2">
        <v>44362</v>
      </c>
      <c r="C82" t="s">
        <v>33</v>
      </c>
      <c r="D82" t="s">
        <v>52</v>
      </c>
      <c r="E82" t="s">
        <v>89</v>
      </c>
      <c r="F82" t="s">
        <v>90</v>
      </c>
      <c r="G82" t="s">
        <v>36</v>
      </c>
      <c r="H82" t="s">
        <v>37</v>
      </c>
      <c r="I82" t="s">
        <v>38</v>
      </c>
      <c r="J82" t="s">
        <v>86</v>
      </c>
      <c r="K82" s="6">
        <f t="shared" si="3"/>
        <v>1</v>
      </c>
      <c r="L82" t="s">
        <v>64</v>
      </c>
      <c r="M82">
        <f t="shared" si="2"/>
        <v>7</v>
      </c>
      <c r="N82" t="s">
        <v>27</v>
      </c>
      <c r="O82" t="s">
        <v>28</v>
      </c>
      <c r="P82" s="2">
        <v>2119</v>
      </c>
      <c r="Q82" t="s">
        <v>104</v>
      </c>
      <c r="R82" t="s">
        <v>42</v>
      </c>
      <c r="S82" t="s">
        <v>31</v>
      </c>
      <c r="T82" t="s">
        <v>59</v>
      </c>
    </row>
    <row r="83" spans="1:20" x14ac:dyDescent="0.25">
      <c r="A83" s="2">
        <v>82</v>
      </c>
      <c r="B83" s="2">
        <v>11398</v>
      </c>
      <c r="C83" t="s">
        <v>96</v>
      </c>
      <c r="D83" t="s">
        <v>66</v>
      </c>
      <c r="E83" t="s">
        <v>84</v>
      </c>
      <c r="F83" t="s">
        <v>85</v>
      </c>
      <c r="G83" t="s">
        <v>98</v>
      </c>
      <c r="H83" t="s">
        <v>46</v>
      </c>
      <c r="I83" t="s">
        <v>91</v>
      </c>
      <c r="J83" t="s">
        <v>48</v>
      </c>
      <c r="K83" s="6">
        <f t="shared" si="3"/>
        <v>2.2000000000000002</v>
      </c>
      <c r="L83" t="s">
        <v>64</v>
      </c>
      <c r="M83">
        <f t="shared" si="2"/>
        <v>7</v>
      </c>
      <c r="N83" t="s">
        <v>27</v>
      </c>
      <c r="O83" t="s">
        <v>82</v>
      </c>
      <c r="P83" s="2">
        <v>503</v>
      </c>
      <c r="Q83" t="s">
        <v>74</v>
      </c>
      <c r="R83" t="s">
        <v>75</v>
      </c>
      <c r="S83" t="s">
        <v>31</v>
      </c>
      <c r="T83" t="s">
        <v>32</v>
      </c>
    </row>
    <row r="84" spans="1:20" x14ac:dyDescent="0.25">
      <c r="A84" s="2">
        <v>83</v>
      </c>
      <c r="B84" s="2">
        <v>55029</v>
      </c>
      <c r="C84" t="s">
        <v>19</v>
      </c>
      <c r="D84" t="s">
        <v>66</v>
      </c>
      <c r="E84" t="s">
        <v>89</v>
      </c>
      <c r="F84" t="s">
        <v>90</v>
      </c>
      <c r="G84" t="s">
        <v>70</v>
      </c>
      <c r="H84" t="s">
        <v>23</v>
      </c>
      <c r="I84" t="s">
        <v>67</v>
      </c>
      <c r="J84" t="s">
        <v>57</v>
      </c>
      <c r="K84" s="6">
        <f t="shared" si="3"/>
        <v>2.2000000000000002</v>
      </c>
      <c r="L84" t="s">
        <v>26</v>
      </c>
      <c r="M84">
        <f t="shared" si="2"/>
        <v>1</v>
      </c>
      <c r="N84" t="s">
        <v>27</v>
      </c>
      <c r="O84" t="s">
        <v>102</v>
      </c>
      <c r="P84" s="2">
        <v>756</v>
      </c>
      <c r="Q84" t="s">
        <v>41</v>
      </c>
      <c r="R84" t="s">
        <v>75</v>
      </c>
      <c r="S84" t="s">
        <v>58</v>
      </c>
      <c r="T84" t="s">
        <v>59</v>
      </c>
    </row>
    <row r="85" spans="1:20" x14ac:dyDescent="0.25">
      <c r="A85" s="2">
        <v>84</v>
      </c>
      <c r="B85" s="2">
        <v>34620</v>
      </c>
      <c r="C85" t="s">
        <v>60</v>
      </c>
      <c r="D85" t="s">
        <v>66</v>
      </c>
      <c r="E85" t="s">
        <v>95</v>
      </c>
      <c r="F85" t="s">
        <v>21</v>
      </c>
      <c r="G85" t="s">
        <v>22</v>
      </c>
      <c r="H85" t="s">
        <v>23</v>
      </c>
      <c r="I85" t="s">
        <v>24</v>
      </c>
      <c r="J85" t="s">
        <v>25</v>
      </c>
      <c r="K85" s="6">
        <f t="shared" si="3"/>
        <v>1.2</v>
      </c>
      <c r="L85" t="s">
        <v>26</v>
      </c>
      <c r="M85">
        <f t="shared" si="2"/>
        <v>1</v>
      </c>
      <c r="N85" t="s">
        <v>104</v>
      </c>
      <c r="O85" t="s">
        <v>28</v>
      </c>
      <c r="P85" s="2">
        <v>592</v>
      </c>
      <c r="Q85" t="s">
        <v>104</v>
      </c>
      <c r="R85" t="s">
        <v>42</v>
      </c>
      <c r="S85" t="s">
        <v>58</v>
      </c>
      <c r="T85" t="s">
        <v>43</v>
      </c>
    </row>
    <row r="86" spans="1:20" x14ac:dyDescent="0.25">
      <c r="A86" s="2">
        <v>85</v>
      </c>
      <c r="B86" s="2">
        <v>59802</v>
      </c>
      <c r="C86" t="s">
        <v>19</v>
      </c>
      <c r="D86" t="s">
        <v>52</v>
      </c>
      <c r="E86" t="s">
        <v>79</v>
      </c>
      <c r="F86" t="s">
        <v>80</v>
      </c>
      <c r="G86" t="s">
        <v>78</v>
      </c>
      <c r="H86" t="s">
        <v>46</v>
      </c>
      <c r="I86" t="s">
        <v>38</v>
      </c>
      <c r="J86" t="s">
        <v>86</v>
      </c>
      <c r="K86" s="6">
        <f t="shared" si="3"/>
        <v>2</v>
      </c>
      <c r="L86" t="s">
        <v>26</v>
      </c>
      <c r="M86">
        <f t="shared" si="2"/>
        <v>1</v>
      </c>
      <c r="N86" t="s">
        <v>104</v>
      </c>
      <c r="O86" t="s">
        <v>103</v>
      </c>
      <c r="P86" s="2">
        <v>421</v>
      </c>
      <c r="Q86" t="s">
        <v>41</v>
      </c>
      <c r="R86" t="s">
        <v>75</v>
      </c>
      <c r="S86" t="s">
        <v>31</v>
      </c>
      <c r="T86" t="s">
        <v>43</v>
      </c>
    </row>
    <row r="87" spans="1:20" x14ac:dyDescent="0.25">
      <c r="A87" s="2">
        <v>86</v>
      </c>
      <c r="B87" s="2">
        <v>21153</v>
      </c>
      <c r="C87" t="s">
        <v>19</v>
      </c>
      <c r="D87" t="s">
        <v>52</v>
      </c>
      <c r="E87" t="s">
        <v>97</v>
      </c>
      <c r="F87" t="s">
        <v>62</v>
      </c>
      <c r="G87" t="s">
        <v>22</v>
      </c>
      <c r="H87" t="s">
        <v>37</v>
      </c>
      <c r="I87" t="s">
        <v>24</v>
      </c>
      <c r="J87" t="s">
        <v>57</v>
      </c>
      <c r="K87" s="6">
        <f t="shared" si="3"/>
        <v>1.2</v>
      </c>
      <c r="L87" t="s">
        <v>64</v>
      </c>
      <c r="M87">
        <f t="shared" si="2"/>
        <v>7</v>
      </c>
      <c r="N87" t="s">
        <v>27</v>
      </c>
      <c r="O87" t="s">
        <v>28</v>
      </c>
      <c r="P87" s="2">
        <v>2797</v>
      </c>
      <c r="Q87" t="s">
        <v>74</v>
      </c>
      <c r="R87" t="s">
        <v>42</v>
      </c>
      <c r="S87" t="s">
        <v>69</v>
      </c>
      <c r="T87" t="s">
        <v>59</v>
      </c>
    </row>
    <row r="88" spans="1:20" x14ac:dyDescent="0.25">
      <c r="A88" s="2">
        <v>87</v>
      </c>
      <c r="B88" s="2">
        <v>29623</v>
      </c>
      <c r="C88" t="s">
        <v>33</v>
      </c>
      <c r="D88" t="s">
        <v>66</v>
      </c>
      <c r="E88" t="s">
        <v>93</v>
      </c>
      <c r="F88" t="s">
        <v>62</v>
      </c>
      <c r="G88" t="s">
        <v>22</v>
      </c>
      <c r="H88" t="s">
        <v>46</v>
      </c>
      <c r="I88" t="s">
        <v>83</v>
      </c>
      <c r="J88" t="s">
        <v>57</v>
      </c>
      <c r="K88" s="6">
        <f t="shared" si="3"/>
        <v>1.1000000000000001</v>
      </c>
      <c r="L88" t="s">
        <v>64</v>
      </c>
      <c r="M88">
        <f t="shared" si="2"/>
        <v>7</v>
      </c>
      <c r="N88" t="s">
        <v>104</v>
      </c>
      <c r="O88" t="s">
        <v>28</v>
      </c>
      <c r="P88" s="2">
        <v>489</v>
      </c>
      <c r="Q88" t="s">
        <v>74</v>
      </c>
      <c r="R88" t="s">
        <v>42</v>
      </c>
      <c r="S88" t="s">
        <v>31</v>
      </c>
      <c r="T88" t="s">
        <v>43</v>
      </c>
    </row>
    <row r="89" spans="1:20" x14ac:dyDescent="0.25">
      <c r="A89" s="2">
        <v>88</v>
      </c>
      <c r="B89" s="2">
        <v>72390</v>
      </c>
      <c r="C89" t="s">
        <v>33</v>
      </c>
      <c r="D89" t="s">
        <v>66</v>
      </c>
      <c r="E89" t="s">
        <v>61</v>
      </c>
      <c r="F89" t="s">
        <v>62</v>
      </c>
      <c r="G89" t="s">
        <v>63</v>
      </c>
      <c r="H89" t="s">
        <v>71</v>
      </c>
      <c r="I89" t="s">
        <v>47</v>
      </c>
      <c r="J89" t="s">
        <v>48</v>
      </c>
      <c r="K89" s="6">
        <f t="shared" si="3"/>
        <v>2.5</v>
      </c>
      <c r="L89" t="s">
        <v>64</v>
      </c>
      <c r="M89">
        <f t="shared" si="2"/>
        <v>7</v>
      </c>
      <c r="N89" t="s">
        <v>40</v>
      </c>
      <c r="O89" t="s">
        <v>103</v>
      </c>
      <c r="P89" s="2">
        <v>201</v>
      </c>
      <c r="Q89" t="s">
        <v>104</v>
      </c>
      <c r="R89" t="s">
        <v>75</v>
      </c>
      <c r="S89" t="s">
        <v>31</v>
      </c>
      <c r="T89" t="s">
        <v>59</v>
      </c>
    </row>
    <row r="90" spans="1:20" x14ac:dyDescent="0.25">
      <c r="A90" s="2">
        <v>89</v>
      </c>
      <c r="B90" s="2">
        <v>57041</v>
      </c>
      <c r="C90" t="s">
        <v>19</v>
      </c>
      <c r="D90" t="s">
        <v>66</v>
      </c>
      <c r="E90" t="s">
        <v>97</v>
      </c>
      <c r="F90" t="s">
        <v>62</v>
      </c>
      <c r="G90" t="s">
        <v>36</v>
      </c>
      <c r="H90" t="s">
        <v>37</v>
      </c>
      <c r="I90" t="s">
        <v>83</v>
      </c>
      <c r="J90" t="s">
        <v>25</v>
      </c>
      <c r="K90" s="6">
        <f t="shared" si="3"/>
        <v>1.1000000000000001</v>
      </c>
      <c r="L90" t="s">
        <v>49</v>
      </c>
      <c r="M90">
        <f t="shared" si="2"/>
        <v>3</v>
      </c>
      <c r="N90" t="s">
        <v>27</v>
      </c>
      <c r="O90" t="s">
        <v>65</v>
      </c>
      <c r="P90" s="2">
        <v>2610</v>
      </c>
      <c r="Q90" t="s">
        <v>74</v>
      </c>
      <c r="R90" t="s">
        <v>42</v>
      </c>
      <c r="S90" t="s">
        <v>69</v>
      </c>
      <c r="T90" t="s">
        <v>59</v>
      </c>
    </row>
    <row r="91" spans="1:20" x14ac:dyDescent="0.25">
      <c r="A91" s="2">
        <v>90</v>
      </c>
      <c r="B91" s="2">
        <v>95019</v>
      </c>
      <c r="C91" t="s">
        <v>51</v>
      </c>
      <c r="D91" t="s">
        <v>52</v>
      </c>
      <c r="E91" t="s">
        <v>89</v>
      </c>
      <c r="F91" t="s">
        <v>90</v>
      </c>
      <c r="G91" t="s">
        <v>55</v>
      </c>
      <c r="H91" t="s">
        <v>73</v>
      </c>
      <c r="I91" t="s">
        <v>94</v>
      </c>
      <c r="J91" t="s">
        <v>86</v>
      </c>
      <c r="K91" s="6">
        <f t="shared" si="3"/>
        <v>1.5</v>
      </c>
      <c r="L91" t="s">
        <v>26</v>
      </c>
      <c r="M91">
        <f t="shared" si="2"/>
        <v>1</v>
      </c>
      <c r="N91" t="s">
        <v>40</v>
      </c>
      <c r="O91" t="s">
        <v>102</v>
      </c>
      <c r="P91" s="2">
        <v>1252</v>
      </c>
      <c r="Q91" t="s">
        <v>29</v>
      </c>
      <c r="R91" t="s">
        <v>75</v>
      </c>
      <c r="S91" t="s">
        <v>69</v>
      </c>
      <c r="T91" t="s">
        <v>59</v>
      </c>
    </row>
    <row r="92" spans="1:20" x14ac:dyDescent="0.25">
      <c r="A92" s="2">
        <v>91</v>
      </c>
      <c r="B92" s="2">
        <v>83521</v>
      </c>
      <c r="C92" t="s">
        <v>51</v>
      </c>
      <c r="D92" t="s">
        <v>66</v>
      </c>
      <c r="E92" t="s">
        <v>101</v>
      </c>
      <c r="F92" t="s">
        <v>80</v>
      </c>
      <c r="G92" t="s">
        <v>98</v>
      </c>
      <c r="H92" t="s">
        <v>71</v>
      </c>
      <c r="I92" t="s">
        <v>47</v>
      </c>
      <c r="J92" t="s">
        <v>57</v>
      </c>
      <c r="K92" s="6">
        <f t="shared" si="3"/>
        <v>2.5</v>
      </c>
      <c r="L92" t="s">
        <v>64</v>
      </c>
      <c r="M92">
        <f t="shared" si="2"/>
        <v>7</v>
      </c>
      <c r="N92" t="s">
        <v>27</v>
      </c>
      <c r="O92" t="s">
        <v>103</v>
      </c>
      <c r="P92" s="2">
        <v>167</v>
      </c>
      <c r="Q92" t="s">
        <v>41</v>
      </c>
      <c r="R92" t="s">
        <v>30</v>
      </c>
      <c r="S92" t="s">
        <v>69</v>
      </c>
      <c r="T92" t="s">
        <v>32</v>
      </c>
    </row>
    <row r="93" spans="1:20" x14ac:dyDescent="0.25">
      <c r="A93" s="2">
        <v>92</v>
      </c>
      <c r="B93" s="2">
        <v>13982</v>
      </c>
      <c r="C93" t="s">
        <v>60</v>
      </c>
      <c r="D93" t="s">
        <v>52</v>
      </c>
      <c r="E93" t="s">
        <v>101</v>
      </c>
      <c r="F93" t="s">
        <v>80</v>
      </c>
      <c r="G93" t="s">
        <v>70</v>
      </c>
      <c r="H93" t="s">
        <v>46</v>
      </c>
      <c r="I93" t="s">
        <v>67</v>
      </c>
      <c r="J93" t="s">
        <v>86</v>
      </c>
      <c r="K93" s="6">
        <f t="shared" si="3"/>
        <v>1.1000000000000001</v>
      </c>
      <c r="L93" t="s">
        <v>64</v>
      </c>
      <c r="M93">
        <f t="shared" si="2"/>
        <v>7</v>
      </c>
      <c r="N93" t="s">
        <v>104</v>
      </c>
      <c r="O93" t="s">
        <v>103</v>
      </c>
      <c r="P93" s="2">
        <v>282</v>
      </c>
      <c r="Q93" t="s">
        <v>41</v>
      </c>
      <c r="R93" t="s">
        <v>42</v>
      </c>
      <c r="S93" t="s">
        <v>31</v>
      </c>
      <c r="T93" t="s">
        <v>32</v>
      </c>
    </row>
    <row r="94" spans="1:20" x14ac:dyDescent="0.25">
      <c r="A94" s="2">
        <v>93</v>
      </c>
      <c r="B94" s="2">
        <v>89880</v>
      </c>
      <c r="C94" t="s">
        <v>19</v>
      </c>
      <c r="D94" t="s">
        <v>52</v>
      </c>
      <c r="E94" t="s">
        <v>97</v>
      </c>
      <c r="F94" t="s">
        <v>62</v>
      </c>
      <c r="G94" t="s">
        <v>70</v>
      </c>
      <c r="H94" t="s">
        <v>37</v>
      </c>
      <c r="I94" t="s">
        <v>47</v>
      </c>
      <c r="J94" t="s">
        <v>57</v>
      </c>
      <c r="K94" s="6">
        <f t="shared" si="3"/>
        <v>0.625</v>
      </c>
      <c r="L94" t="s">
        <v>64</v>
      </c>
      <c r="M94">
        <f t="shared" si="2"/>
        <v>7</v>
      </c>
      <c r="N94" t="s">
        <v>104</v>
      </c>
      <c r="O94" t="s">
        <v>102</v>
      </c>
      <c r="P94" s="2">
        <v>2319</v>
      </c>
      <c r="Q94" t="s">
        <v>41</v>
      </c>
      <c r="R94" t="s">
        <v>68</v>
      </c>
      <c r="S94" t="s">
        <v>69</v>
      </c>
      <c r="T94" t="s">
        <v>59</v>
      </c>
    </row>
    <row r="95" spans="1:20" x14ac:dyDescent="0.25">
      <c r="A95" s="2">
        <v>94</v>
      </c>
      <c r="B95" s="2">
        <v>14617</v>
      </c>
      <c r="C95" t="s">
        <v>51</v>
      </c>
      <c r="D95" t="s">
        <v>52</v>
      </c>
      <c r="E95" t="s">
        <v>76</v>
      </c>
      <c r="F95" t="s">
        <v>77</v>
      </c>
      <c r="G95" t="s">
        <v>92</v>
      </c>
      <c r="H95" t="s">
        <v>46</v>
      </c>
      <c r="I95" t="s">
        <v>38</v>
      </c>
      <c r="J95" t="s">
        <v>86</v>
      </c>
      <c r="K95" s="6">
        <f t="shared" si="3"/>
        <v>1</v>
      </c>
      <c r="L95" t="s">
        <v>49</v>
      </c>
      <c r="M95">
        <f t="shared" si="2"/>
        <v>3</v>
      </c>
      <c r="N95" t="s">
        <v>40</v>
      </c>
      <c r="O95" t="s">
        <v>28</v>
      </c>
      <c r="P95" s="2">
        <v>543</v>
      </c>
      <c r="Q95" t="s">
        <v>104</v>
      </c>
      <c r="R95" t="s">
        <v>42</v>
      </c>
      <c r="S95" t="s">
        <v>50</v>
      </c>
      <c r="T95" t="s">
        <v>43</v>
      </c>
    </row>
    <row r="96" spans="1:20" x14ac:dyDescent="0.25">
      <c r="A96" s="2">
        <v>95</v>
      </c>
      <c r="B96" s="2">
        <v>80793</v>
      </c>
      <c r="C96" t="s">
        <v>60</v>
      </c>
      <c r="D96" t="s">
        <v>66</v>
      </c>
      <c r="E96" t="s">
        <v>89</v>
      </c>
      <c r="F96" t="s">
        <v>90</v>
      </c>
      <c r="G96" t="s">
        <v>22</v>
      </c>
      <c r="H96" t="s">
        <v>46</v>
      </c>
      <c r="I96" t="s">
        <v>94</v>
      </c>
      <c r="J96" t="s">
        <v>57</v>
      </c>
      <c r="K96" s="6">
        <f t="shared" si="3"/>
        <v>1.5</v>
      </c>
      <c r="L96" t="s">
        <v>64</v>
      </c>
      <c r="M96">
        <f t="shared" si="2"/>
        <v>7</v>
      </c>
      <c r="N96" t="s">
        <v>27</v>
      </c>
      <c r="O96" t="s">
        <v>28</v>
      </c>
      <c r="P96" s="2">
        <v>286</v>
      </c>
      <c r="Q96" t="s">
        <v>74</v>
      </c>
      <c r="R96" t="s">
        <v>30</v>
      </c>
      <c r="S96" t="s">
        <v>58</v>
      </c>
      <c r="T96" t="s">
        <v>59</v>
      </c>
    </row>
    <row r="97" spans="1:20" x14ac:dyDescent="0.25">
      <c r="A97" s="2">
        <v>96</v>
      </c>
      <c r="B97" s="2">
        <v>97568</v>
      </c>
      <c r="C97" t="s">
        <v>19</v>
      </c>
      <c r="D97" t="s">
        <v>66</v>
      </c>
      <c r="E97" t="s">
        <v>101</v>
      </c>
      <c r="F97" t="s">
        <v>80</v>
      </c>
      <c r="G97" t="s">
        <v>55</v>
      </c>
      <c r="H97" t="s">
        <v>37</v>
      </c>
      <c r="I97" t="s">
        <v>24</v>
      </c>
      <c r="J97" t="s">
        <v>25</v>
      </c>
      <c r="K97" s="6">
        <f t="shared" si="3"/>
        <v>0.6</v>
      </c>
      <c r="L97" t="s">
        <v>64</v>
      </c>
      <c r="M97">
        <f t="shared" si="2"/>
        <v>7</v>
      </c>
      <c r="N97" t="s">
        <v>40</v>
      </c>
      <c r="O97" t="s">
        <v>102</v>
      </c>
      <c r="P97" s="2">
        <v>2458</v>
      </c>
      <c r="Q97" t="s">
        <v>74</v>
      </c>
      <c r="R97" t="s">
        <v>68</v>
      </c>
      <c r="S97" t="s">
        <v>58</v>
      </c>
      <c r="T97" t="s">
        <v>32</v>
      </c>
    </row>
    <row r="98" spans="1:20" x14ac:dyDescent="0.25">
      <c r="A98" s="2">
        <v>97</v>
      </c>
      <c r="B98" s="2">
        <v>76996</v>
      </c>
      <c r="C98" t="s">
        <v>60</v>
      </c>
      <c r="D98" t="s">
        <v>52</v>
      </c>
      <c r="E98" t="s">
        <v>20</v>
      </c>
      <c r="F98" t="s">
        <v>21</v>
      </c>
      <c r="G98" t="s">
        <v>78</v>
      </c>
      <c r="H98" t="s">
        <v>23</v>
      </c>
      <c r="I98" t="s">
        <v>24</v>
      </c>
      <c r="J98" t="s">
        <v>25</v>
      </c>
      <c r="K98" s="6">
        <f t="shared" si="3"/>
        <v>1.2</v>
      </c>
      <c r="L98" t="s">
        <v>49</v>
      </c>
      <c r="M98">
        <f t="shared" si="2"/>
        <v>3</v>
      </c>
      <c r="N98" t="s">
        <v>40</v>
      </c>
      <c r="O98" t="s">
        <v>65</v>
      </c>
      <c r="P98" s="2">
        <v>875</v>
      </c>
      <c r="Q98" t="s">
        <v>104</v>
      </c>
      <c r="R98" t="s">
        <v>42</v>
      </c>
      <c r="S98" t="s">
        <v>31</v>
      </c>
      <c r="T98" t="s">
        <v>32</v>
      </c>
    </row>
    <row r="99" spans="1:20" x14ac:dyDescent="0.25">
      <c r="A99" s="2">
        <v>98</v>
      </c>
      <c r="B99" s="2">
        <v>51499</v>
      </c>
      <c r="C99" t="s">
        <v>96</v>
      </c>
      <c r="D99" t="s">
        <v>66</v>
      </c>
      <c r="E99" t="s">
        <v>97</v>
      </c>
      <c r="F99" t="s">
        <v>62</v>
      </c>
      <c r="G99" t="s">
        <v>98</v>
      </c>
      <c r="H99" t="s">
        <v>46</v>
      </c>
      <c r="I99" t="s">
        <v>47</v>
      </c>
      <c r="J99" t="s">
        <v>86</v>
      </c>
      <c r="K99" s="6">
        <f t="shared" si="3"/>
        <v>0.625</v>
      </c>
      <c r="L99" t="s">
        <v>26</v>
      </c>
      <c r="M99">
        <f t="shared" si="2"/>
        <v>1</v>
      </c>
      <c r="N99" t="s">
        <v>27</v>
      </c>
      <c r="O99" t="s">
        <v>28</v>
      </c>
      <c r="P99" s="2">
        <v>466</v>
      </c>
      <c r="Q99" t="s">
        <v>104</v>
      </c>
      <c r="R99" t="s">
        <v>68</v>
      </c>
      <c r="S99" t="s">
        <v>31</v>
      </c>
      <c r="T99" t="s">
        <v>59</v>
      </c>
    </row>
    <row r="100" spans="1:20" x14ac:dyDescent="0.25">
      <c r="A100" s="2">
        <v>99</v>
      </c>
      <c r="B100" s="2">
        <v>41548</v>
      </c>
      <c r="C100" t="s">
        <v>33</v>
      </c>
      <c r="D100" t="s">
        <v>66</v>
      </c>
      <c r="E100" t="s">
        <v>53</v>
      </c>
      <c r="F100" t="s">
        <v>54</v>
      </c>
      <c r="G100" t="s">
        <v>78</v>
      </c>
      <c r="H100" t="s">
        <v>73</v>
      </c>
      <c r="I100" t="s">
        <v>47</v>
      </c>
      <c r="J100" t="s">
        <v>48</v>
      </c>
      <c r="K100" s="6">
        <f t="shared" si="3"/>
        <v>2.5</v>
      </c>
      <c r="L100" t="s">
        <v>49</v>
      </c>
      <c r="M100">
        <f t="shared" si="2"/>
        <v>3</v>
      </c>
      <c r="N100" t="s">
        <v>104</v>
      </c>
      <c r="O100" t="s">
        <v>72</v>
      </c>
      <c r="P100" s="2">
        <v>1193</v>
      </c>
      <c r="Q100" t="s">
        <v>74</v>
      </c>
      <c r="R100" t="s">
        <v>30</v>
      </c>
      <c r="S100" t="s">
        <v>69</v>
      </c>
      <c r="T100" t="s">
        <v>59</v>
      </c>
    </row>
    <row r="101" spans="1:20" x14ac:dyDescent="0.25">
      <c r="A101" s="2">
        <v>100</v>
      </c>
      <c r="B101" s="2">
        <v>53149</v>
      </c>
      <c r="C101" t="s">
        <v>60</v>
      </c>
      <c r="D101" t="s">
        <v>66</v>
      </c>
      <c r="E101" t="s">
        <v>97</v>
      </c>
      <c r="F101" t="s">
        <v>62</v>
      </c>
      <c r="G101" t="s">
        <v>36</v>
      </c>
      <c r="H101" t="s">
        <v>46</v>
      </c>
      <c r="I101" t="s">
        <v>56</v>
      </c>
      <c r="J101" t="s">
        <v>25</v>
      </c>
      <c r="K101" s="6">
        <f t="shared" si="3"/>
        <v>1.1000000000000001</v>
      </c>
      <c r="L101" t="s">
        <v>49</v>
      </c>
      <c r="M101">
        <f t="shared" si="2"/>
        <v>3</v>
      </c>
      <c r="N101" t="s">
        <v>27</v>
      </c>
      <c r="O101" t="s">
        <v>103</v>
      </c>
      <c r="P101" s="2">
        <v>432</v>
      </c>
      <c r="Q101" t="s">
        <v>29</v>
      </c>
      <c r="R101" t="s">
        <v>42</v>
      </c>
      <c r="S101" t="s">
        <v>50</v>
      </c>
      <c r="T101" t="s">
        <v>59</v>
      </c>
    </row>
    <row r="102" spans="1:20" x14ac:dyDescent="0.25">
      <c r="A102" s="2">
        <v>101</v>
      </c>
      <c r="B102" s="2">
        <v>51597</v>
      </c>
      <c r="C102" t="s">
        <v>51</v>
      </c>
      <c r="D102" t="s">
        <v>52</v>
      </c>
      <c r="E102" t="s">
        <v>84</v>
      </c>
      <c r="F102" t="s">
        <v>85</v>
      </c>
      <c r="G102" t="s">
        <v>98</v>
      </c>
      <c r="H102" t="s">
        <v>73</v>
      </c>
      <c r="I102" t="s">
        <v>24</v>
      </c>
      <c r="J102" t="s">
        <v>57</v>
      </c>
      <c r="K102" s="6">
        <f t="shared" si="3"/>
        <v>0.6</v>
      </c>
      <c r="L102" t="s">
        <v>64</v>
      </c>
      <c r="M102">
        <f t="shared" si="2"/>
        <v>7</v>
      </c>
      <c r="N102" t="s">
        <v>27</v>
      </c>
      <c r="O102" t="s">
        <v>102</v>
      </c>
      <c r="P102" s="2">
        <v>1131</v>
      </c>
      <c r="Q102" t="s">
        <v>74</v>
      </c>
      <c r="R102" t="s">
        <v>68</v>
      </c>
      <c r="S102" t="s">
        <v>31</v>
      </c>
      <c r="T102" t="s">
        <v>32</v>
      </c>
    </row>
    <row r="103" spans="1:20" x14ac:dyDescent="0.25">
      <c r="A103" s="2">
        <v>102</v>
      </c>
      <c r="B103" s="2">
        <v>70969</v>
      </c>
      <c r="C103" t="s">
        <v>33</v>
      </c>
      <c r="D103" t="s">
        <v>52</v>
      </c>
      <c r="E103" t="s">
        <v>87</v>
      </c>
      <c r="F103" t="s">
        <v>88</v>
      </c>
      <c r="G103" t="s">
        <v>98</v>
      </c>
      <c r="H103" t="s">
        <v>46</v>
      </c>
      <c r="I103" t="s">
        <v>47</v>
      </c>
      <c r="J103" t="s">
        <v>48</v>
      </c>
      <c r="K103" s="6">
        <f t="shared" si="3"/>
        <v>1.25</v>
      </c>
      <c r="L103" t="s">
        <v>64</v>
      </c>
      <c r="M103">
        <f t="shared" si="2"/>
        <v>7</v>
      </c>
      <c r="N103" t="s">
        <v>27</v>
      </c>
      <c r="O103" t="s">
        <v>102</v>
      </c>
      <c r="P103" s="2">
        <v>313</v>
      </c>
      <c r="Q103" t="s">
        <v>41</v>
      </c>
      <c r="R103" t="s">
        <v>42</v>
      </c>
      <c r="S103" t="s">
        <v>31</v>
      </c>
      <c r="T103" t="s">
        <v>59</v>
      </c>
    </row>
    <row r="104" spans="1:20" x14ac:dyDescent="0.25">
      <c r="A104" s="2">
        <v>103</v>
      </c>
      <c r="B104" s="2">
        <v>14596</v>
      </c>
      <c r="C104" t="s">
        <v>51</v>
      </c>
      <c r="D104" t="s">
        <v>66</v>
      </c>
      <c r="E104" t="s">
        <v>53</v>
      </c>
      <c r="F104" t="s">
        <v>54</v>
      </c>
      <c r="G104" t="s">
        <v>55</v>
      </c>
      <c r="H104" t="s">
        <v>71</v>
      </c>
      <c r="I104" t="s">
        <v>38</v>
      </c>
      <c r="J104" t="s">
        <v>57</v>
      </c>
      <c r="K104" s="6">
        <f t="shared" si="3"/>
        <v>2</v>
      </c>
      <c r="L104" t="s">
        <v>49</v>
      </c>
      <c r="M104">
        <f t="shared" si="2"/>
        <v>3</v>
      </c>
      <c r="N104" t="s">
        <v>104</v>
      </c>
      <c r="O104" t="s">
        <v>102</v>
      </c>
      <c r="P104" s="2">
        <v>293</v>
      </c>
      <c r="Q104" t="s">
        <v>41</v>
      </c>
      <c r="R104" t="s">
        <v>30</v>
      </c>
      <c r="S104" t="s">
        <v>50</v>
      </c>
      <c r="T104" t="s">
        <v>59</v>
      </c>
    </row>
    <row r="105" spans="1:20" x14ac:dyDescent="0.25">
      <c r="A105" s="2">
        <v>104</v>
      </c>
      <c r="B105" s="2">
        <v>78604</v>
      </c>
      <c r="C105" t="s">
        <v>33</v>
      </c>
      <c r="D105" t="s">
        <v>52</v>
      </c>
      <c r="E105" t="s">
        <v>95</v>
      </c>
      <c r="F105" t="s">
        <v>21</v>
      </c>
      <c r="G105" t="s">
        <v>55</v>
      </c>
      <c r="H105" t="s">
        <v>46</v>
      </c>
      <c r="I105" t="s">
        <v>24</v>
      </c>
      <c r="J105" t="s">
        <v>25</v>
      </c>
      <c r="K105" s="6">
        <f t="shared" si="3"/>
        <v>2.4</v>
      </c>
      <c r="L105" t="s">
        <v>64</v>
      </c>
      <c r="M105">
        <f t="shared" si="2"/>
        <v>7</v>
      </c>
      <c r="N105" t="s">
        <v>27</v>
      </c>
      <c r="O105" t="s">
        <v>72</v>
      </c>
      <c r="P105" s="2">
        <v>493</v>
      </c>
      <c r="Q105" t="s">
        <v>29</v>
      </c>
      <c r="R105" t="s">
        <v>30</v>
      </c>
      <c r="S105" t="s">
        <v>69</v>
      </c>
      <c r="T105" t="s">
        <v>43</v>
      </c>
    </row>
    <row r="106" spans="1:20" x14ac:dyDescent="0.25">
      <c r="A106" s="2">
        <v>105</v>
      </c>
      <c r="B106" s="2">
        <v>35636</v>
      </c>
      <c r="C106" t="s">
        <v>60</v>
      </c>
      <c r="D106" t="s">
        <v>66</v>
      </c>
      <c r="E106" t="s">
        <v>87</v>
      </c>
      <c r="F106" t="s">
        <v>88</v>
      </c>
      <c r="G106" t="s">
        <v>78</v>
      </c>
      <c r="H106" t="s">
        <v>23</v>
      </c>
      <c r="I106" t="s">
        <v>56</v>
      </c>
      <c r="J106" t="s">
        <v>57</v>
      </c>
      <c r="K106" s="6">
        <f t="shared" si="3"/>
        <v>0.55000000000000004</v>
      </c>
      <c r="L106" t="s">
        <v>26</v>
      </c>
      <c r="M106">
        <f t="shared" si="2"/>
        <v>1</v>
      </c>
      <c r="N106" t="s">
        <v>40</v>
      </c>
      <c r="O106" t="s">
        <v>102</v>
      </c>
      <c r="P106" s="2">
        <v>800</v>
      </c>
      <c r="Q106" t="s">
        <v>41</v>
      </c>
      <c r="R106" t="s">
        <v>68</v>
      </c>
      <c r="S106" t="s">
        <v>31</v>
      </c>
      <c r="T106" t="s">
        <v>59</v>
      </c>
    </row>
    <row r="107" spans="1:20" x14ac:dyDescent="0.25">
      <c r="A107" s="2">
        <v>106</v>
      </c>
      <c r="B107" s="2">
        <v>33614</v>
      </c>
      <c r="C107" t="s">
        <v>19</v>
      </c>
      <c r="D107" t="s">
        <v>66</v>
      </c>
      <c r="E107" t="s">
        <v>44</v>
      </c>
      <c r="F107" t="s">
        <v>44</v>
      </c>
      <c r="G107" t="s">
        <v>70</v>
      </c>
      <c r="H107" t="s">
        <v>46</v>
      </c>
      <c r="I107" t="s">
        <v>83</v>
      </c>
      <c r="J107" t="s">
        <v>57</v>
      </c>
      <c r="K107" s="6">
        <f t="shared" si="3"/>
        <v>0.55000000000000004</v>
      </c>
      <c r="L107" t="s">
        <v>26</v>
      </c>
      <c r="M107">
        <f t="shared" si="2"/>
        <v>1</v>
      </c>
      <c r="N107" t="s">
        <v>104</v>
      </c>
      <c r="O107" t="s">
        <v>103</v>
      </c>
      <c r="P107" s="2">
        <v>393</v>
      </c>
      <c r="Q107" t="s">
        <v>41</v>
      </c>
      <c r="R107" t="s">
        <v>68</v>
      </c>
      <c r="S107" t="s">
        <v>31</v>
      </c>
      <c r="T107" t="s">
        <v>43</v>
      </c>
    </row>
    <row r="108" spans="1:20" x14ac:dyDescent="0.25">
      <c r="A108" s="2">
        <v>107</v>
      </c>
      <c r="B108" s="2">
        <v>67876</v>
      </c>
      <c r="C108" t="s">
        <v>51</v>
      </c>
      <c r="D108" t="s">
        <v>52</v>
      </c>
      <c r="E108" t="s">
        <v>93</v>
      </c>
      <c r="F108" t="s">
        <v>62</v>
      </c>
      <c r="G108" t="s">
        <v>92</v>
      </c>
      <c r="H108" t="s">
        <v>73</v>
      </c>
      <c r="I108" t="s">
        <v>24</v>
      </c>
      <c r="J108" t="s">
        <v>57</v>
      </c>
      <c r="K108" s="6">
        <f t="shared" si="3"/>
        <v>2.4</v>
      </c>
      <c r="L108" t="s">
        <v>64</v>
      </c>
      <c r="M108">
        <f t="shared" si="2"/>
        <v>7</v>
      </c>
      <c r="N108" t="s">
        <v>27</v>
      </c>
      <c r="O108" t="s">
        <v>72</v>
      </c>
      <c r="P108" s="2">
        <v>1305</v>
      </c>
      <c r="Q108" t="s">
        <v>104</v>
      </c>
      <c r="R108" t="s">
        <v>75</v>
      </c>
      <c r="S108" t="s">
        <v>58</v>
      </c>
      <c r="T108" t="s">
        <v>43</v>
      </c>
    </row>
    <row r="109" spans="1:20" x14ac:dyDescent="0.25">
      <c r="A109" s="2">
        <v>108</v>
      </c>
      <c r="B109" s="2">
        <v>98862</v>
      </c>
      <c r="C109" t="s">
        <v>19</v>
      </c>
      <c r="D109" t="s">
        <v>52</v>
      </c>
      <c r="E109" t="s">
        <v>53</v>
      </c>
      <c r="F109" t="s">
        <v>54</v>
      </c>
      <c r="G109" t="s">
        <v>78</v>
      </c>
      <c r="H109" t="s">
        <v>71</v>
      </c>
      <c r="I109" t="s">
        <v>94</v>
      </c>
      <c r="J109" t="s">
        <v>86</v>
      </c>
      <c r="K109" s="6">
        <f t="shared" si="3"/>
        <v>0.375</v>
      </c>
      <c r="L109" t="s">
        <v>49</v>
      </c>
      <c r="M109">
        <f t="shared" si="2"/>
        <v>3</v>
      </c>
      <c r="N109" t="s">
        <v>27</v>
      </c>
      <c r="O109" t="s">
        <v>28</v>
      </c>
      <c r="P109" s="2">
        <v>208</v>
      </c>
      <c r="Q109" t="s">
        <v>41</v>
      </c>
      <c r="R109" t="s">
        <v>68</v>
      </c>
      <c r="S109" t="s">
        <v>58</v>
      </c>
      <c r="T109" t="s">
        <v>59</v>
      </c>
    </row>
    <row r="110" spans="1:20" x14ac:dyDescent="0.25">
      <c r="A110" s="2">
        <v>109</v>
      </c>
      <c r="B110" s="2">
        <v>81187</v>
      </c>
      <c r="C110" t="s">
        <v>33</v>
      </c>
      <c r="D110" t="s">
        <v>66</v>
      </c>
      <c r="E110" t="s">
        <v>44</v>
      </c>
      <c r="F110" t="s">
        <v>44</v>
      </c>
      <c r="G110" t="s">
        <v>81</v>
      </c>
      <c r="H110" t="s">
        <v>23</v>
      </c>
      <c r="I110" t="s">
        <v>94</v>
      </c>
      <c r="J110" t="s">
        <v>57</v>
      </c>
      <c r="K110" s="6">
        <f t="shared" si="3"/>
        <v>0.75</v>
      </c>
      <c r="L110" t="s">
        <v>26</v>
      </c>
      <c r="M110">
        <f t="shared" si="2"/>
        <v>1</v>
      </c>
      <c r="N110" t="s">
        <v>27</v>
      </c>
      <c r="O110" t="s">
        <v>28</v>
      </c>
      <c r="P110" s="2">
        <v>578</v>
      </c>
      <c r="Q110" t="s">
        <v>41</v>
      </c>
      <c r="R110" t="s">
        <v>42</v>
      </c>
      <c r="S110" t="s">
        <v>50</v>
      </c>
      <c r="T110" t="s">
        <v>43</v>
      </c>
    </row>
    <row r="111" spans="1:20" x14ac:dyDescent="0.25">
      <c r="A111" s="2">
        <v>110</v>
      </c>
      <c r="B111" s="2">
        <v>13303</v>
      </c>
      <c r="C111" t="s">
        <v>51</v>
      </c>
      <c r="D111" t="s">
        <v>66</v>
      </c>
      <c r="E111" t="s">
        <v>44</v>
      </c>
      <c r="F111" t="s">
        <v>44</v>
      </c>
      <c r="G111" t="s">
        <v>36</v>
      </c>
      <c r="H111" t="s">
        <v>23</v>
      </c>
      <c r="I111" t="s">
        <v>67</v>
      </c>
      <c r="J111" t="s">
        <v>86</v>
      </c>
      <c r="K111" s="6">
        <f t="shared" si="3"/>
        <v>2.2000000000000002</v>
      </c>
      <c r="L111" t="s">
        <v>64</v>
      </c>
      <c r="M111">
        <f t="shared" si="2"/>
        <v>7</v>
      </c>
      <c r="N111" t="s">
        <v>27</v>
      </c>
      <c r="O111" t="s">
        <v>82</v>
      </c>
      <c r="P111" s="2">
        <v>508</v>
      </c>
      <c r="Q111" t="s">
        <v>29</v>
      </c>
      <c r="R111" t="s">
        <v>30</v>
      </c>
      <c r="S111" t="s">
        <v>31</v>
      </c>
      <c r="T111" t="s">
        <v>43</v>
      </c>
    </row>
    <row r="112" spans="1:20" x14ac:dyDescent="0.25">
      <c r="A112" s="2">
        <v>111</v>
      </c>
      <c r="B112" s="2">
        <v>77038</v>
      </c>
      <c r="C112" t="s">
        <v>51</v>
      </c>
      <c r="D112" t="s">
        <v>52</v>
      </c>
      <c r="E112" t="s">
        <v>87</v>
      </c>
      <c r="F112" t="s">
        <v>88</v>
      </c>
      <c r="G112" t="s">
        <v>70</v>
      </c>
      <c r="H112" t="s">
        <v>73</v>
      </c>
      <c r="I112" t="s">
        <v>24</v>
      </c>
      <c r="J112" t="s">
        <v>25</v>
      </c>
      <c r="K112" s="6">
        <f t="shared" si="3"/>
        <v>0.6</v>
      </c>
      <c r="L112" t="s">
        <v>64</v>
      </c>
      <c r="M112">
        <f t="shared" si="2"/>
        <v>7</v>
      </c>
      <c r="N112" t="s">
        <v>27</v>
      </c>
      <c r="O112" t="s">
        <v>72</v>
      </c>
      <c r="P112" s="2">
        <v>1076</v>
      </c>
      <c r="Q112" t="s">
        <v>74</v>
      </c>
      <c r="R112" t="s">
        <v>68</v>
      </c>
      <c r="S112" t="s">
        <v>31</v>
      </c>
      <c r="T112" t="s">
        <v>59</v>
      </c>
    </row>
    <row r="113" spans="1:20" x14ac:dyDescent="0.25">
      <c r="A113" s="2">
        <v>112</v>
      </c>
      <c r="B113" s="2">
        <v>40843</v>
      </c>
      <c r="C113" t="s">
        <v>33</v>
      </c>
      <c r="D113" t="s">
        <v>52</v>
      </c>
      <c r="E113" t="s">
        <v>87</v>
      </c>
      <c r="F113" t="s">
        <v>88</v>
      </c>
      <c r="G113" t="s">
        <v>81</v>
      </c>
      <c r="H113" t="s">
        <v>73</v>
      </c>
      <c r="I113" t="s">
        <v>38</v>
      </c>
      <c r="J113" t="s">
        <v>48</v>
      </c>
      <c r="K113" s="6">
        <f t="shared" si="3"/>
        <v>0.5</v>
      </c>
      <c r="L113" t="s">
        <v>49</v>
      </c>
      <c r="M113">
        <f t="shared" si="2"/>
        <v>3</v>
      </c>
      <c r="N113" t="s">
        <v>104</v>
      </c>
      <c r="O113" t="s">
        <v>65</v>
      </c>
      <c r="P113" s="2">
        <v>1054</v>
      </c>
      <c r="Q113" t="s">
        <v>74</v>
      </c>
      <c r="R113" t="s">
        <v>68</v>
      </c>
      <c r="S113" t="s">
        <v>50</v>
      </c>
      <c r="T113" t="s">
        <v>59</v>
      </c>
    </row>
    <row r="114" spans="1:20" x14ac:dyDescent="0.25">
      <c r="A114" s="2">
        <v>113</v>
      </c>
      <c r="B114" s="2">
        <v>91192</v>
      </c>
      <c r="C114" t="s">
        <v>33</v>
      </c>
      <c r="D114" t="s">
        <v>66</v>
      </c>
      <c r="E114" t="s">
        <v>76</v>
      </c>
      <c r="F114" t="s">
        <v>77</v>
      </c>
      <c r="G114" t="s">
        <v>55</v>
      </c>
      <c r="H114" t="s">
        <v>46</v>
      </c>
      <c r="I114" t="s">
        <v>24</v>
      </c>
      <c r="J114" t="s">
        <v>57</v>
      </c>
      <c r="K114" s="6">
        <f t="shared" si="3"/>
        <v>1.2</v>
      </c>
      <c r="L114" t="s">
        <v>64</v>
      </c>
      <c r="M114">
        <f t="shared" si="2"/>
        <v>7</v>
      </c>
      <c r="N114" t="s">
        <v>27</v>
      </c>
      <c r="O114" t="s">
        <v>102</v>
      </c>
      <c r="P114" s="2">
        <v>250</v>
      </c>
      <c r="Q114" t="s">
        <v>104</v>
      </c>
      <c r="R114" t="s">
        <v>42</v>
      </c>
      <c r="S114" t="s">
        <v>31</v>
      </c>
      <c r="T114" t="s">
        <v>43</v>
      </c>
    </row>
    <row r="115" spans="1:20" x14ac:dyDescent="0.25">
      <c r="A115" s="2">
        <v>114</v>
      </c>
      <c r="B115" s="2">
        <v>35270</v>
      </c>
      <c r="C115" t="s">
        <v>19</v>
      </c>
      <c r="D115" t="s">
        <v>52</v>
      </c>
      <c r="E115" t="s">
        <v>79</v>
      </c>
      <c r="F115" t="s">
        <v>80</v>
      </c>
      <c r="G115" t="s">
        <v>45</v>
      </c>
      <c r="H115" t="s">
        <v>71</v>
      </c>
      <c r="I115" t="s">
        <v>67</v>
      </c>
      <c r="J115" t="s">
        <v>86</v>
      </c>
      <c r="K115" s="6">
        <f t="shared" si="3"/>
        <v>2.2000000000000002</v>
      </c>
      <c r="L115" t="s">
        <v>26</v>
      </c>
      <c r="M115">
        <f t="shared" si="2"/>
        <v>1</v>
      </c>
      <c r="N115" t="s">
        <v>40</v>
      </c>
      <c r="O115" t="s">
        <v>103</v>
      </c>
      <c r="P115" s="2">
        <v>387</v>
      </c>
      <c r="Q115" t="s">
        <v>29</v>
      </c>
      <c r="R115" t="s">
        <v>75</v>
      </c>
      <c r="S115" t="s">
        <v>69</v>
      </c>
      <c r="T115" t="s">
        <v>43</v>
      </c>
    </row>
    <row r="116" spans="1:20" x14ac:dyDescent="0.25">
      <c r="A116" s="2">
        <v>115</v>
      </c>
      <c r="B116" s="2">
        <v>11743</v>
      </c>
      <c r="C116" t="s">
        <v>19</v>
      </c>
      <c r="D116" t="s">
        <v>52</v>
      </c>
      <c r="E116" t="s">
        <v>20</v>
      </c>
      <c r="F116" t="s">
        <v>21</v>
      </c>
      <c r="G116" t="s">
        <v>22</v>
      </c>
      <c r="H116" t="s">
        <v>73</v>
      </c>
      <c r="I116" t="s">
        <v>24</v>
      </c>
      <c r="J116" t="s">
        <v>25</v>
      </c>
      <c r="K116" s="6">
        <f t="shared" si="3"/>
        <v>0.6</v>
      </c>
      <c r="L116" t="s">
        <v>64</v>
      </c>
      <c r="M116">
        <f t="shared" si="2"/>
        <v>7</v>
      </c>
      <c r="N116" t="s">
        <v>27</v>
      </c>
      <c r="O116" t="s">
        <v>103</v>
      </c>
      <c r="P116" s="2">
        <v>1111</v>
      </c>
      <c r="Q116" t="s">
        <v>74</v>
      </c>
      <c r="R116" t="s">
        <v>68</v>
      </c>
      <c r="S116" t="s">
        <v>31</v>
      </c>
      <c r="T116" t="s">
        <v>32</v>
      </c>
    </row>
    <row r="117" spans="1:20" x14ac:dyDescent="0.25">
      <c r="A117" s="2">
        <v>116</v>
      </c>
      <c r="B117" s="2">
        <v>19094</v>
      </c>
      <c r="C117" t="s">
        <v>51</v>
      </c>
      <c r="D117" t="s">
        <v>52</v>
      </c>
      <c r="E117" t="s">
        <v>44</v>
      </c>
      <c r="F117" t="s">
        <v>44</v>
      </c>
      <c r="G117" t="s">
        <v>70</v>
      </c>
      <c r="H117" t="s">
        <v>23</v>
      </c>
      <c r="I117" t="s">
        <v>38</v>
      </c>
      <c r="J117" t="s">
        <v>86</v>
      </c>
      <c r="K117" s="6">
        <f t="shared" si="3"/>
        <v>2</v>
      </c>
      <c r="L117" t="s">
        <v>49</v>
      </c>
      <c r="M117">
        <f t="shared" si="2"/>
        <v>3</v>
      </c>
      <c r="N117" t="s">
        <v>27</v>
      </c>
      <c r="O117" t="s">
        <v>82</v>
      </c>
      <c r="P117" s="2">
        <v>660</v>
      </c>
      <c r="Q117" t="s">
        <v>74</v>
      </c>
      <c r="R117" t="s">
        <v>75</v>
      </c>
      <c r="S117" t="s">
        <v>58</v>
      </c>
      <c r="T117" t="s">
        <v>43</v>
      </c>
    </row>
    <row r="118" spans="1:20" x14ac:dyDescent="0.25">
      <c r="A118" s="2">
        <v>117</v>
      </c>
      <c r="B118" s="2">
        <v>47036</v>
      </c>
      <c r="C118" t="s">
        <v>96</v>
      </c>
      <c r="D118" t="s">
        <v>66</v>
      </c>
      <c r="E118" t="s">
        <v>79</v>
      </c>
      <c r="F118" t="s">
        <v>80</v>
      </c>
      <c r="G118" t="s">
        <v>22</v>
      </c>
      <c r="H118" t="s">
        <v>46</v>
      </c>
      <c r="I118" t="s">
        <v>47</v>
      </c>
      <c r="J118" t="s">
        <v>57</v>
      </c>
      <c r="K118" s="6">
        <f t="shared" si="3"/>
        <v>2.5</v>
      </c>
      <c r="L118" t="s">
        <v>64</v>
      </c>
      <c r="M118">
        <f t="shared" si="2"/>
        <v>7</v>
      </c>
      <c r="N118" t="s">
        <v>104</v>
      </c>
      <c r="O118" t="s">
        <v>103</v>
      </c>
      <c r="P118" s="2">
        <v>466</v>
      </c>
      <c r="Q118" t="s">
        <v>74</v>
      </c>
      <c r="R118" t="s">
        <v>30</v>
      </c>
      <c r="S118" t="s">
        <v>50</v>
      </c>
      <c r="T118" t="s">
        <v>43</v>
      </c>
    </row>
    <row r="119" spans="1:20" x14ac:dyDescent="0.25">
      <c r="A119" s="2">
        <v>118</v>
      </c>
      <c r="B119" s="2">
        <v>85505</v>
      </c>
      <c r="C119" t="s">
        <v>19</v>
      </c>
      <c r="D119" t="s">
        <v>52</v>
      </c>
      <c r="E119" t="s">
        <v>101</v>
      </c>
      <c r="F119" t="s">
        <v>80</v>
      </c>
      <c r="G119" t="s">
        <v>78</v>
      </c>
      <c r="H119" t="s">
        <v>46</v>
      </c>
      <c r="I119" t="s">
        <v>56</v>
      </c>
      <c r="J119" t="s">
        <v>25</v>
      </c>
      <c r="K119" s="6">
        <f t="shared" si="3"/>
        <v>0.55000000000000004</v>
      </c>
      <c r="L119" t="s">
        <v>64</v>
      </c>
      <c r="M119">
        <f t="shared" si="2"/>
        <v>7</v>
      </c>
      <c r="N119" t="s">
        <v>27</v>
      </c>
      <c r="O119" t="s">
        <v>103</v>
      </c>
      <c r="P119" s="2">
        <v>419</v>
      </c>
      <c r="Q119" t="s">
        <v>74</v>
      </c>
      <c r="R119" t="s">
        <v>68</v>
      </c>
      <c r="S119" t="s">
        <v>31</v>
      </c>
      <c r="T119" t="s">
        <v>32</v>
      </c>
    </row>
    <row r="120" spans="1:20" x14ac:dyDescent="0.25">
      <c r="A120" s="2">
        <v>119</v>
      </c>
      <c r="B120" s="2">
        <v>99019</v>
      </c>
      <c r="C120" t="s">
        <v>33</v>
      </c>
      <c r="D120" t="s">
        <v>52</v>
      </c>
      <c r="E120" t="s">
        <v>53</v>
      </c>
      <c r="F120" t="s">
        <v>54</v>
      </c>
      <c r="G120" t="s">
        <v>81</v>
      </c>
      <c r="H120" t="s">
        <v>71</v>
      </c>
      <c r="I120" t="s">
        <v>47</v>
      </c>
      <c r="J120" t="s">
        <v>48</v>
      </c>
      <c r="K120" s="6">
        <f t="shared" si="3"/>
        <v>1.25</v>
      </c>
      <c r="L120" t="s">
        <v>64</v>
      </c>
      <c r="M120">
        <f t="shared" si="2"/>
        <v>7</v>
      </c>
      <c r="N120" t="s">
        <v>40</v>
      </c>
      <c r="O120" t="s">
        <v>28</v>
      </c>
      <c r="P120" s="2">
        <v>198</v>
      </c>
      <c r="Q120" t="s">
        <v>41</v>
      </c>
      <c r="R120" t="s">
        <v>42</v>
      </c>
      <c r="S120" t="s">
        <v>58</v>
      </c>
      <c r="T120" t="s">
        <v>59</v>
      </c>
    </row>
    <row r="121" spans="1:20" x14ac:dyDescent="0.25">
      <c r="A121" s="2">
        <v>120</v>
      </c>
      <c r="B121" s="2">
        <v>77487</v>
      </c>
      <c r="C121" t="s">
        <v>33</v>
      </c>
      <c r="D121" t="s">
        <v>52</v>
      </c>
      <c r="E121" t="s">
        <v>84</v>
      </c>
      <c r="F121" t="s">
        <v>85</v>
      </c>
      <c r="G121" t="s">
        <v>92</v>
      </c>
      <c r="H121" t="s">
        <v>23</v>
      </c>
      <c r="I121" t="s">
        <v>47</v>
      </c>
      <c r="J121" t="s">
        <v>39</v>
      </c>
      <c r="K121" s="6">
        <f t="shared" si="3"/>
        <v>2.5</v>
      </c>
      <c r="L121" t="s">
        <v>64</v>
      </c>
      <c r="M121">
        <f t="shared" si="2"/>
        <v>7</v>
      </c>
      <c r="N121" t="s">
        <v>27</v>
      </c>
      <c r="O121" t="s">
        <v>102</v>
      </c>
      <c r="P121" s="2">
        <v>581</v>
      </c>
      <c r="Q121" t="s">
        <v>41</v>
      </c>
      <c r="R121" t="s">
        <v>30</v>
      </c>
      <c r="S121" t="s">
        <v>58</v>
      </c>
      <c r="T121" t="s">
        <v>32</v>
      </c>
    </row>
    <row r="122" spans="1:20" x14ac:dyDescent="0.25">
      <c r="A122" s="2">
        <v>121</v>
      </c>
      <c r="B122" s="2">
        <v>91368</v>
      </c>
      <c r="C122" t="s">
        <v>33</v>
      </c>
      <c r="D122" t="s">
        <v>66</v>
      </c>
      <c r="E122" t="s">
        <v>76</v>
      </c>
      <c r="F122" t="s">
        <v>77</v>
      </c>
      <c r="G122" t="s">
        <v>92</v>
      </c>
      <c r="H122" t="s">
        <v>23</v>
      </c>
      <c r="I122" t="s">
        <v>67</v>
      </c>
      <c r="J122" t="s">
        <v>57</v>
      </c>
      <c r="K122" s="6">
        <f t="shared" si="3"/>
        <v>1.1000000000000001</v>
      </c>
      <c r="L122" t="s">
        <v>64</v>
      </c>
      <c r="M122">
        <f t="shared" si="2"/>
        <v>7</v>
      </c>
      <c r="N122" t="s">
        <v>27</v>
      </c>
      <c r="O122" t="s">
        <v>103</v>
      </c>
      <c r="P122" s="2">
        <v>488</v>
      </c>
      <c r="Q122" t="s">
        <v>74</v>
      </c>
      <c r="R122" t="s">
        <v>42</v>
      </c>
      <c r="S122" t="s">
        <v>69</v>
      </c>
      <c r="T122" t="s">
        <v>43</v>
      </c>
    </row>
    <row r="123" spans="1:20" x14ac:dyDescent="0.25">
      <c r="A123" s="2">
        <v>122</v>
      </c>
      <c r="B123" s="2">
        <v>39124</v>
      </c>
      <c r="C123" t="s">
        <v>60</v>
      </c>
      <c r="D123" t="s">
        <v>66</v>
      </c>
      <c r="E123" t="s">
        <v>44</v>
      </c>
      <c r="F123" t="s">
        <v>44</v>
      </c>
      <c r="G123" t="s">
        <v>81</v>
      </c>
      <c r="H123" t="s">
        <v>23</v>
      </c>
      <c r="I123" t="s">
        <v>56</v>
      </c>
      <c r="J123" t="s">
        <v>57</v>
      </c>
      <c r="K123" s="6">
        <f t="shared" si="3"/>
        <v>1.1000000000000001</v>
      </c>
      <c r="L123" t="s">
        <v>64</v>
      </c>
      <c r="M123">
        <f t="shared" si="2"/>
        <v>7</v>
      </c>
      <c r="N123" t="s">
        <v>40</v>
      </c>
      <c r="O123" t="s">
        <v>28</v>
      </c>
      <c r="P123" s="2">
        <v>808</v>
      </c>
      <c r="Q123" t="s">
        <v>41</v>
      </c>
      <c r="R123" t="s">
        <v>42</v>
      </c>
      <c r="S123" t="s">
        <v>31</v>
      </c>
      <c r="T123" t="s">
        <v>43</v>
      </c>
    </row>
    <row r="124" spans="1:20" x14ac:dyDescent="0.25">
      <c r="A124" s="2">
        <v>123</v>
      </c>
      <c r="B124" s="2">
        <v>77748</v>
      </c>
      <c r="C124" t="s">
        <v>33</v>
      </c>
      <c r="D124" t="s">
        <v>66</v>
      </c>
      <c r="E124" t="s">
        <v>99</v>
      </c>
      <c r="F124" t="s">
        <v>100</v>
      </c>
      <c r="G124" t="s">
        <v>63</v>
      </c>
      <c r="H124" t="s">
        <v>23</v>
      </c>
      <c r="I124" t="s">
        <v>91</v>
      </c>
      <c r="J124" t="s">
        <v>57</v>
      </c>
      <c r="K124" s="6">
        <f t="shared" si="3"/>
        <v>0.55000000000000004</v>
      </c>
      <c r="L124" t="s">
        <v>49</v>
      </c>
      <c r="M124">
        <f t="shared" si="2"/>
        <v>3</v>
      </c>
      <c r="N124" t="s">
        <v>40</v>
      </c>
      <c r="O124" t="s">
        <v>82</v>
      </c>
      <c r="P124" s="2">
        <v>896</v>
      </c>
      <c r="Q124" t="s">
        <v>104</v>
      </c>
      <c r="R124" t="s">
        <v>68</v>
      </c>
      <c r="S124" t="s">
        <v>50</v>
      </c>
      <c r="T124" t="s">
        <v>32</v>
      </c>
    </row>
    <row r="125" spans="1:20" x14ac:dyDescent="0.25">
      <c r="A125" s="2">
        <v>124</v>
      </c>
      <c r="B125" s="2">
        <v>19801</v>
      </c>
      <c r="C125" t="s">
        <v>33</v>
      </c>
      <c r="D125" t="s">
        <v>52</v>
      </c>
      <c r="E125" t="s">
        <v>84</v>
      </c>
      <c r="F125" t="s">
        <v>85</v>
      </c>
      <c r="G125" t="s">
        <v>63</v>
      </c>
      <c r="H125" t="s">
        <v>23</v>
      </c>
      <c r="I125" t="s">
        <v>24</v>
      </c>
      <c r="J125" t="s">
        <v>57</v>
      </c>
      <c r="K125" s="6">
        <f t="shared" si="3"/>
        <v>2.4</v>
      </c>
      <c r="L125" t="s">
        <v>64</v>
      </c>
      <c r="M125">
        <f t="shared" si="2"/>
        <v>7</v>
      </c>
      <c r="N125" t="s">
        <v>27</v>
      </c>
      <c r="O125" t="s">
        <v>28</v>
      </c>
      <c r="P125" s="2">
        <v>414</v>
      </c>
      <c r="Q125" t="s">
        <v>29</v>
      </c>
      <c r="R125" t="s">
        <v>75</v>
      </c>
      <c r="S125" t="s">
        <v>58</v>
      </c>
      <c r="T125" t="s">
        <v>32</v>
      </c>
    </row>
    <row r="126" spans="1:20" x14ac:dyDescent="0.25">
      <c r="A126" s="2">
        <v>125</v>
      </c>
      <c r="B126" s="2">
        <v>21772</v>
      </c>
      <c r="C126" t="s">
        <v>51</v>
      </c>
      <c r="D126" t="s">
        <v>52</v>
      </c>
      <c r="E126" t="s">
        <v>93</v>
      </c>
      <c r="F126" t="s">
        <v>62</v>
      </c>
      <c r="G126" t="s">
        <v>81</v>
      </c>
      <c r="H126" t="s">
        <v>46</v>
      </c>
      <c r="I126" t="s">
        <v>91</v>
      </c>
      <c r="J126" t="s">
        <v>48</v>
      </c>
      <c r="K126" s="6">
        <f t="shared" si="3"/>
        <v>1.1000000000000001</v>
      </c>
      <c r="L126" t="s">
        <v>64</v>
      </c>
      <c r="M126">
        <f t="shared" si="2"/>
        <v>7</v>
      </c>
      <c r="N126" t="s">
        <v>40</v>
      </c>
      <c r="O126" t="s">
        <v>103</v>
      </c>
      <c r="P126" s="2">
        <v>482</v>
      </c>
      <c r="Q126" t="s">
        <v>29</v>
      </c>
      <c r="R126" t="s">
        <v>42</v>
      </c>
      <c r="S126" t="s">
        <v>58</v>
      </c>
      <c r="T126" t="s">
        <v>43</v>
      </c>
    </row>
    <row r="127" spans="1:20" x14ac:dyDescent="0.25">
      <c r="A127" s="2">
        <v>126</v>
      </c>
      <c r="B127" s="2">
        <v>65493</v>
      </c>
      <c r="C127" t="s">
        <v>51</v>
      </c>
      <c r="D127" t="s">
        <v>52</v>
      </c>
      <c r="E127" t="s">
        <v>97</v>
      </c>
      <c r="F127" t="s">
        <v>62</v>
      </c>
      <c r="G127" t="s">
        <v>45</v>
      </c>
      <c r="H127" t="s">
        <v>23</v>
      </c>
      <c r="I127" t="s">
        <v>67</v>
      </c>
      <c r="J127" t="s">
        <v>25</v>
      </c>
      <c r="K127" s="6">
        <f t="shared" si="3"/>
        <v>1.1000000000000001</v>
      </c>
      <c r="L127" t="s">
        <v>64</v>
      </c>
      <c r="M127">
        <f t="shared" si="2"/>
        <v>7</v>
      </c>
      <c r="N127" t="s">
        <v>27</v>
      </c>
      <c r="O127" t="s">
        <v>103</v>
      </c>
      <c r="P127" s="2">
        <v>714</v>
      </c>
      <c r="Q127" t="s">
        <v>29</v>
      </c>
      <c r="R127" t="s">
        <v>42</v>
      </c>
      <c r="S127" t="s">
        <v>69</v>
      </c>
      <c r="T127" t="s">
        <v>59</v>
      </c>
    </row>
    <row r="128" spans="1:20" x14ac:dyDescent="0.25">
      <c r="A128" s="2">
        <v>127</v>
      </c>
      <c r="B128" s="2">
        <v>76307</v>
      </c>
      <c r="C128" t="s">
        <v>33</v>
      </c>
      <c r="D128" t="s">
        <v>66</v>
      </c>
      <c r="E128" t="s">
        <v>44</v>
      </c>
      <c r="F128" t="s">
        <v>44</v>
      </c>
      <c r="G128" t="s">
        <v>81</v>
      </c>
      <c r="H128" t="s">
        <v>71</v>
      </c>
      <c r="I128" t="s">
        <v>47</v>
      </c>
      <c r="J128" t="s">
        <v>57</v>
      </c>
      <c r="K128" s="6">
        <f t="shared" si="3"/>
        <v>0.625</v>
      </c>
      <c r="L128" t="s">
        <v>64</v>
      </c>
      <c r="M128">
        <f t="shared" si="2"/>
        <v>7</v>
      </c>
      <c r="N128" t="s">
        <v>27</v>
      </c>
      <c r="O128" t="s">
        <v>103</v>
      </c>
      <c r="P128" s="2">
        <v>235</v>
      </c>
      <c r="Q128" t="s">
        <v>104</v>
      </c>
      <c r="R128" t="s">
        <v>68</v>
      </c>
      <c r="S128" t="s">
        <v>31</v>
      </c>
      <c r="T128" t="s">
        <v>43</v>
      </c>
    </row>
    <row r="129" spans="1:20" x14ac:dyDescent="0.25">
      <c r="A129" s="2">
        <v>128</v>
      </c>
      <c r="B129" s="2">
        <v>50014</v>
      </c>
      <c r="C129" t="s">
        <v>51</v>
      </c>
      <c r="D129" t="s">
        <v>52</v>
      </c>
      <c r="E129" t="s">
        <v>84</v>
      </c>
      <c r="F129" t="s">
        <v>85</v>
      </c>
      <c r="G129" t="s">
        <v>22</v>
      </c>
      <c r="H129" t="s">
        <v>23</v>
      </c>
      <c r="I129" t="s">
        <v>38</v>
      </c>
      <c r="J129" t="s">
        <v>25</v>
      </c>
      <c r="K129" s="6">
        <f t="shared" si="3"/>
        <v>0.5</v>
      </c>
      <c r="L129" t="s">
        <v>49</v>
      </c>
      <c r="M129">
        <f t="shared" si="2"/>
        <v>3</v>
      </c>
      <c r="N129" t="s">
        <v>40</v>
      </c>
      <c r="O129" t="s">
        <v>82</v>
      </c>
      <c r="P129" s="2">
        <v>896</v>
      </c>
      <c r="Q129" t="s">
        <v>104</v>
      </c>
      <c r="R129" t="s">
        <v>68</v>
      </c>
      <c r="S129" t="s">
        <v>69</v>
      </c>
      <c r="T129" t="s">
        <v>32</v>
      </c>
    </row>
    <row r="130" spans="1:20" x14ac:dyDescent="0.25">
      <c r="A130" s="2">
        <v>129</v>
      </c>
      <c r="B130" s="2">
        <v>62852</v>
      </c>
      <c r="C130" t="s">
        <v>60</v>
      </c>
      <c r="D130" t="s">
        <v>52</v>
      </c>
      <c r="E130" t="s">
        <v>97</v>
      </c>
      <c r="F130" t="s">
        <v>62</v>
      </c>
      <c r="G130" t="s">
        <v>63</v>
      </c>
      <c r="H130" t="s">
        <v>23</v>
      </c>
      <c r="I130" t="s">
        <v>91</v>
      </c>
      <c r="J130" t="s">
        <v>86</v>
      </c>
      <c r="K130" s="6">
        <f t="shared" si="3"/>
        <v>2.2000000000000002</v>
      </c>
      <c r="L130" t="s">
        <v>49</v>
      </c>
      <c r="M130">
        <f t="shared" ref="M130:M193" si="4">IF(L130="daily",7,IF(L130="weekly",3,1))</f>
        <v>3</v>
      </c>
      <c r="N130" t="s">
        <v>40</v>
      </c>
      <c r="O130" t="s">
        <v>103</v>
      </c>
      <c r="P130" s="2">
        <v>490</v>
      </c>
      <c r="Q130" t="s">
        <v>41</v>
      </c>
      <c r="R130" t="s">
        <v>75</v>
      </c>
      <c r="S130" t="s">
        <v>58</v>
      </c>
      <c r="T130" t="s">
        <v>59</v>
      </c>
    </row>
    <row r="131" spans="1:20" x14ac:dyDescent="0.25">
      <c r="A131" s="2">
        <v>130</v>
      </c>
      <c r="B131" s="2">
        <v>57328</v>
      </c>
      <c r="C131" t="s">
        <v>60</v>
      </c>
      <c r="D131" t="s">
        <v>52</v>
      </c>
      <c r="E131" t="s">
        <v>20</v>
      </c>
      <c r="F131" t="s">
        <v>21</v>
      </c>
      <c r="G131" t="s">
        <v>36</v>
      </c>
      <c r="H131" t="s">
        <v>23</v>
      </c>
      <c r="I131" t="s">
        <v>91</v>
      </c>
      <c r="J131" t="s">
        <v>25</v>
      </c>
      <c r="K131" s="6">
        <f t="shared" ref="K131:K194" si="5">IF(R131="Morning",2,IF(R131="Night",2,IF(R131="Evening",1,0.5)))
*
IF(I131="Espresso",0.75,IF(I131="Cold Brew",1.25,IF(I131="Filter Coffee",1.2,IF(I131="Instant Coffee",1,1.1))))</f>
        <v>0.55000000000000004</v>
      </c>
      <c r="L131" t="s">
        <v>64</v>
      </c>
      <c r="M131">
        <f t="shared" si="4"/>
        <v>7</v>
      </c>
      <c r="N131" t="s">
        <v>27</v>
      </c>
      <c r="O131" t="s">
        <v>82</v>
      </c>
      <c r="P131" s="2">
        <v>521</v>
      </c>
      <c r="Q131" t="s">
        <v>74</v>
      </c>
      <c r="R131" t="s">
        <v>68</v>
      </c>
      <c r="S131" t="s">
        <v>31</v>
      </c>
      <c r="T131" t="s">
        <v>32</v>
      </c>
    </row>
    <row r="132" spans="1:20" x14ac:dyDescent="0.25">
      <c r="A132" s="2">
        <v>131</v>
      </c>
      <c r="B132" s="2">
        <v>70330</v>
      </c>
      <c r="C132" t="s">
        <v>60</v>
      </c>
      <c r="D132" t="s">
        <v>52</v>
      </c>
      <c r="E132" t="s">
        <v>53</v>
      </c>
      <c r="F132" t="s">
        <v>54</v>
      </c>
      <c r="G132" t="s">
        <v>63</v>
      </c>
      <c r="H132" t="s">
        <v>23</v>
      </c>
      <c r="I132" t="s">
        <v>83</v>
      </c>
      <c r="J132" t="s">
        <v>39</v>
      </c>
      <c r="K132" s="6">
        <f t="shared" si="5"/>
        <v>2.2000000000000002</v>
      </c>
      <c r="L132" t="s">
        <v>49</v>
      </c>
      <c r="M132">
        <f t="shared" si="4"/>
        <v>3</v>
      </c>
      <c r="N132" t="s">
        <v>27</v>
      </c>
      <c r="O132" t="s">
        <v>28</v>
      </c>
      <c r="P132" s="2">
        <v>589</v>
      </c>
      <c r="Q132" t="s">
        <v>41</v>
      </c>
      <c r="R132" t="s">
        <v>30</v>
      </c>
      <c r="S132" t="s">
        <v>31</v>
      </c>
      <c r="T132" t="s">
        <v>59</v>
      </c>
    </row>
    <row r="133" spans="1:20" x14ac:dyDescent="0.25">
      <c r="A133" s="2">
        <v>132</v>
      </c>
      <c r="B133" s="2">
        <v>14233</v>
      </c>
      <c r="C133" t="s">
        <v>19</v>
      </c>
      <c r="D133" t="s">
        <v>52</v>
      </c>
      <c r="E133" t="s">
        <v>101</v>
      </c>
      <c r="F133" t="s">
        <v>80</v>
      </c>
      <c r="G133" t="s">
        <v>36</v>
      </c>
      <c r="H133" t="s">
        <v>23</v>
      </c>
      <c r="I133" t="s">
        <v>24</v>
      </c>
      <c r="J133" t="s">
        <v>25</v>
      </c>
      <c r="K133" s="6">
        <f t="shared" si="5"/>
        <v>1.2</v>
      </c>
      <c r="L133" t="s">
        <v>64</v>
      </c>
      <c r="M133">
        <f t="shared" si="4"/>
        <v>7</v>
      </c>
      <c r="N133" t="s">
        <v>104</v>
      </c>
      <c r="O133" t="s">
        <v>102</v>
      </c>
      <c r="P133" s="2">
        <v>803</v>
      </c>
      <c r="Q133" t="s">
        <v>104</v>
      </c>
      <c r="R133" t="s">
        <v>42</v>
      </c>
      <c r="S133" t="s">
        <v>69</v>
      </c>
      <c r="T133" t="s">
        <v>32</v>
      </c>
    </row>
    <row r="134" spans="1:20" x14ac:dyDescent="0.25">
      <c r="A134" s="2">
        <v>133</v>
      </c>
      <c r="B134" s="2">
        <v>79800</v>
      </c>
      <c r="C134" t="s">
        <v>51</v>
      </c>
      <c r="D134" t="s">
        <v>52</v>
      </c>
      <c r="E134" t="s">
        <v>87</v>
      </c>
      <c r="F134" t="s">
        <v>88</v>
      </c>
      <c r="G134" t="s">
        <v>81</v>
      </c>
      <c r="H134" t="s">
        <v>23</v>
      </c>
      <c r="I134" t="s">
        <v>83</v>
      </c>
      <c r="J134" t="s">
        <v>48</v>
      </c>
      <c r="K134" s="6">
        <f t="shared" si="5"/>
        <v>0.55000000000000004</v>
      </c>
      <c r="L134" t="s">
        <v>64</v>
      </c>
      <c r="M134">
        <f t="shared" si="4"/>
        <v>7</v>
      </c>
      <c r="N134" t="s">
        <v>27</v>
      </c>
      <c r="O134" t="s">
        <v>65</v>
      </c>
      <c r="P134" s="2">
        <v>866</v>
      </c>
      <c r="Q134" t="s">
        <v>104</v>
      </c>
      <c r="R134" t="s">
        <v>68</v>
      </c>
      <c r="S134" t="s">
        <v>31</v>
      </c>
      <c r="T134" t="s">
        <v>59</v>
      </c>
    </row>
    <row r="135" spans="1:20" x14ac:dyDescent="0.25">
      <c r="A135" s="2">
        <v>134</v>
      </c>
      <c r="B135" s="2">
        <v>45520</v>
      </c>
      <c r="C135" t="s">
        <v>19</v>
      </c>
      <c r="D135" t="s">
        <v>66</v>
      </c>
      <c r="E135" t="s">
        <v>61</v>
      </c>
      <c r="F135" t="s">
        <v>62</v>
      </c>
      <c r="G135" t="s">
        <v>36</v>
      </c>
      <c r="H135" t="s">
        <v>73</v>
      </c>
      <c r="I135" t="s">
        <v>83</v>
      </c>
      <c r="J135" t="s">
        <v>48</v>
      </c>
      <c r="K135" s="6">
        <f t="shared" si="5"/>
        <v>1.1000000000000001</v>
      </c>
      <c r="L135" t="s">
        <v>64</v>
      </c>
      <c r="M135">
        <f t="shared" si="4"/>
        <v>7</v>
      </c>
      <c r="N135" t="s">
        <v>27</v>
      </c>
      <c r="O135" t="s">
        <v>28</v>
      </c>
      <c r="P135" s="2">
        <v>1391</v>
      </c>
      <c r="Q135" t="s">
        <v>74</v>
      </c>
      <c r="R135" t="s">
        <v>42</v>
      </c>
      <c r="S135" t="s">
        <v>31</v>
      </c>
      <c r="T135" t="s">
        <v>59</v>
      </c>
    </row>
    <row r="136" spans="1:20" x14ac:dyDescent="0.25">
      <c r="A136" s="2">
        <v>135</v>
      </c>
      <c r="B136" s="2">
        <v>92420</v>
      </c>
      <c r="C136" t="s">
        <v>19</v>
      </c>
      <c r="D136" t="s">
        <v>52</v>
      </c>
      <c r="E136" t="s">
        <v>20</v>
      </c>
      <c r="F136" t="s">
        <v>21</v>
      </c>
      <c r="G136" t="s">
        <v>45</v>
      </c>
      <c r="H136" t="s">
        <v>73</v>
      </c>
      <c r="I136" t="s">
        <v>24</v>
      </c>
      <c r="J136" t="s">
        <v>25</v>
      </c>
      <c r="K136" s="6">
        <f t="shared" si="5"/>
        <v>1.2</v>
      </c>
      <c r="L136" t="s">
        <v>64</v>
      </c>
      <c r="M136">
        <f t="shared" si="4"/>
        <v>7</v>
      </c>
      <c r="N136" t="s">
        <v>27</v>
      </c>
      <c r="O136" t="s">
        <v>65</v>
      </c>
      <c r="P136" s="2">
        <v>1032</v>
      </c>
      <c r="Q136" t="s">
        <v>104</v>
      </c>
      <c r="R136" t="s">
        <v>42</v>
      </c>
      <c r="S136" t="s">
        <v>31</v>
      </c>
      <c r="T136" t="s">
        <v>32</v>
      </c>
    </row>
    <row r="137" spans="1:20" x14ac:dyDescent="0.25">
      <c r="A137" s="2">
        <v>136</v>
      </c>
      <c r="B137" s="2">
        <v>28132</v>
      </c>
      <c r="C137" t="s">
        <v>19</v>
      </c>
      <c r="D137" t="s">
        <v>66</v>
      </c>
      <c r="E137" t="s">
        <v>95</v>
      </c>
      <c r="F137" t="s">
        <v>21</v>
      </c>
      <c r="G137" t="s">
        <v>78</v>
      </c>
      <c r="H137" t="s">
        <v>73</v>
      </c>
      <c r="I137" t="s">
        <v>24</v>
      </c>
      <c r="J137" t="s">
        <v>25</v>
      </c>
      <c r="K137" s="6">
        <f t="shared" si="5"/>
        <v>2.4</v>
      </c>
      <c r="L137" t="s">
        <v>64</v>
      </c>
      <c r="M137">
        <f t="shared" si="4"/>
        <v>7</v>
      </c>
      <c r="N137" t="s">
        <v>40</v>
      </c>
      <c r="O137" t="s">
        <v>28</v>
      </c>
      <c r="P137" s="2">
        <v>1182</v>
      </c>
      <c r="Q137" t="s">
        <v>104</v>
      </c>
      <c r="R137" t="s">
        <v>75</v>
      </c>
      <c r="S137" t="s">
        <v>31</v>
      </c>
      <c r="T137" t="s">
        <v>43</v>
      </c>
    </row>
    <row r="138" spans="1:20" x14ac:dyDescent="0.25">
      <c r="A138" s="2">
        <v>137</v>
      </c>
      <c r="B138" s="2">
        <v>23904</v>
      </c>
      <c r="C138" t="s">
        <v>19</v>
      </c>
      <c r="D138" t="s">
        <v>52</v>
      </c>
      <c r="E138" t="s">
        <v>61</v>
      </c>
      <c r="F138" t="s">
        <v>62</v>
      </c>
      <c r="G138" t="s">
        <v>63</v>
      </c>
      <c r="H138" t="s">
        <v>46</v>
      </c>
      <c r="I138" t="s">
        <v>47</v>
      </c>
      <c r="J138" t="s">
        <v>48</v>
      </c>
      <c r="K138" s="6">
        <f t="shared" si="5"/>
        <v>2.5</v>
      </c>
      <c r="L138" t="s">
        <v>64</v>
      </c>
      <c r="M138">
        <f t="shared" si="4"/>
        <v>7</v>
      </c>
      <c r="N138" t="s">
        <v>40</v>
      </c>
      <c r="O138" t="s">
        <v>102</v>
      </c>
      <c r="P138" s="2">
        <v>586</v>
      </c>
      <c r="Q138" t="s">
        <v>104</v>
      </c>
      <c r="R138" t="s">
        <v>30</v>
      </c>
      <c r="S138" t="s">
        <v>69</v>
      </c>
      <c r="T138" t="s">
        <v>59</v>
      </c>
    </row>
    <row r="139" spans="1:20" x14ac:dyDescent="0.25">
      <c r="A139" s="2">
        <v>138</v>
      </c>
      <c r="B139" s="2">
        <v>12806</v>
      </c>
      <c r="C139" t="s">
        <v>19</v>
      </c>
      <c r="D139" t="s">
        <v>52</v>
      </c>
      <c r="E139" t="s">
        <v>87</v>
      </c>
      <c r="F139" t="s">
        <v>88</v>
      </c>
      <c r="G139" t="s">
        <v>36</v>
      </c>
      <c r="H139" t="s">
        <v>71</v>
      </c>
      <c r="I139" t="s">
        <v>47</v>
      </c>
      <c r="J139" t="s">
        <v>48</v>
      </c>
      <c r="K139" s="6">
        <f t="shared" si="5"/>
        <v>0.625</v>
      </c>
      <c r="L139" t="s">
        <v>64</v>
      </c>
      <c r="M139">
        <f t="shared" si="4"/>
        <v>7</v>
      </c>
      <c r="N139" t="s">
        <v>104</v>
      </c>
      <c r="O139" t="s">
        <v>102</v>
      </c>
      <c r="P139" s="2">
        <v>203</v>
      </c>
      <c r="Q139" t="s">
        <v>104</v>
      </c>
      <c r="R139" t="s">
        <v>68</v>
      </c>
      <c r="S139" t="s">
        <v>69</v>
      </c>
      <c r="T139" t="s">
        <v>59</v>
      </c>
    </row>
    <row r="140" spans="1:20" x14ac:dyDescent="0.25">
      <c r="A140" s="2">
        <v>139</v>
      </c>
      <c r="B140" s="2">
        <v>30679</v>
      </c>
      <c r="C140" t="s">
        <v>19</v>
      </c>
      <c r="D140" t="s">
        <v>66</v>
      </c>
      <c r="E140" t="s">
        <v>61</v>
      </c>
      <c r="F140" t="s">
        <v>62</v>
      </c>
      <c r="G140" t="s">
        <v>92</v>
      </c>
      <c r="H140" t="s">
        <v>73</v>
      </c>
      <c r="I140" t="s">
        <v>91</v>
      </c>
      <c r="J140" t="s">
        <v>25</v>
      </c>
      <c r="K140" s="6">
        <f t="shared" si="5"/>
        <v>2.2000000000000002</v>
      </c>
      <c r="L140" t="s">
        <v>64</v>
      </c>
      <c r="M140">
        <f t="shared" si="4"/>
        <v>7</v>
      </c>
      <c r="N140" t="s">
        <v>104</v>
      </c>
      <c r="O140" t="s">
        <v>28</v>
      </c>
      <c r="P140" s="2">
        <v>1402</v>
      </c>
      <c r="Q140" t="s">
        <v>74</v>
      </c>
      <c r="R140" t="s">
        <v>75</v>
      </c>
      <c r="S140" t="s">
        <v>50</v>
      </c>
      <c r="T140" t="s">
        <v>59</v>
      </c>
    </row>
    <row r="141" spans="1:20" x14ac:dyDescent="0.25">
      <c r="A141" s="2">
        <v>140</v>
      </c>
      <c r="B141" s="2">
        <v>15858</v>
      </c>
      <c r="C141" t="s">
        <v>19</v>
      </c>
      <c r="D141" t="s">
        <v>52</v>
      </c>
      <c r="E141" t="s">
        <v>101</v>
      </c>
      <c r="F141" t="s">
        <v>80</v>
      </c>
      <c r="G141" t="s">
        <v>98</v>
      </c>
      <c r="H141" t="s">
        <v>23</v>
      </c>
      <c r="I141" t="s">
        <v>24</v>
      </c>
      <c r="J141" t="s">
        <v>25</v>
      </c>
      <c r="K141" s="6">
        <f t="shared" si="5"/>
        <v>2.4</v>
      </c>
      <c r="L141" t="s">
        <v>49</v>
      </c>
      <c r="M141">
        <f t="shared" si="4"/>
        <v>3</v>
      </c>
      <c r="N141" t="s">
        <v>40</v>
      </c>
      <c r="O141" t="s">
        <v>103</v>
      </c>
      <c r="P141" s="2">
        <v>614</v>
      </c>
      <c r="Q141" t="s">
        <v>104</v>
      </c>
      <c r="R141" t="s">
        <v>75</v>
      </c>
      <c r="S141" t="s">
        <v>31</v>
      </c>
      <c r="T141" t="s">
        <v>32</v>
      </c>
    </row>
    <row r="142" spans="1:20" x14ac:dyDescent="0.25">
      <c r="A142" s="2">
        <v>141</v>
      </c>
      <c r="B142" s="2">
        <v>78512</v>
      </c>
      <c r="C142" t="s">
        <v>33</v>
      </c>
      <c r="D142" t="s">
        <v>66</v>
      </c>
      <c r="E142" t="s">
        <v>84</v>
      </c>
      <c r="F142" t="s">
        <v>85</v>
      </c>
      <c r="G142" t="s">
        <v>92</v>
      </c>
      <c r="H142" t="s">
        <v>71</v>
      </c>
      <c r="I142" t="s">
        <v>56</v>
      </c>
      <c r="J142" t="s">
        <v>57</v>
      </c>
      <c r="K142" s="6">
        <f t="shared" si="5"/>
        <v>2.2000000000000002</v>
      </c>
      <c r="L142" t="s">
        <v>64</v>
      </c>
      <c r="M142">
        <f t="shared" si="4"/>
        <v>7</v>
      </c>
      <c r="N142" t="s">
        <v>40</v>
      </c>
      <c r="O142" t="s">
        <v>72</v>
      </c>
      <c r="P142" s="2">
        <v>211</v>
      </c>
      <c r="Q142" t="s">
        <v>74</v>
      </c>
      <c r="R142" t="s">
        <v>75</v>
      </c>
      <c r="S142" t="s">
        <v>58</v>
      </c>
      <c r="T142" t="s">
        <v>32</v>
      </c>
    </row>
    <row r="143" spans="1:20" x14ac:dyDescent="0.25">
      <c r="A143" s="2">
        <v>142</v>
      </c>
      <c r="B143" s="2">
        <v>64867</v>
      </c>
      <c r="C143" t="s">
        <v>51</v>
      </c>
      <c r="D143" t="s">
        <v>52</v>
      </c>
      <c r="E143" t="s">
        <v>84</v>
      </c>
      <c r="F143" t="s">
        <v>85</v>
      </c>
      <c r="G143" t="s">
        <v>70</v>
      </c>
      <c r="H143" t="s">
        <v>46</v>
      </c>
      <c r="I143" t="s">
        <v>47</v>
      </c>
      <c r="J143" t="s">
        <v>25</v>
      </c>
      <c r="K143" s="6">
        <f t="shared" si="5"/>
        <v>1.25</v>
      </c>
      <c r="L143" t="s">
        <v>64</v>
      </c>
      <c r="M143">
        <f t="shared" si="4"/>
        <v>7</v>
      </c>
      <c r="N143" t="s">
        <v>27</v>
      </c>
      <c r="O143" t="s">
        <v>103</v>
      </c>
      <c r="P143" s="2">
        <v>387</v>
      </c>
      <c r="Q143" t="s">
        <v>74</v>
      </c>
      <c r="R143" t="s">
        <v>42</v>
      </c>
      <c r="S143" t="s">
        <v>58</v>
      </c>
      <c r="T143" t="s">
        <v>32</v>
      </c>
    </row>
    <row r="144" spans="1:20" x14ac:dyDescent="0.25">
      <c r="A144" s="2">
        <v>143</v>
      </c>
      <c r="B144" s="2">
        <v>24183</v>
      </c>
      <c r="C144" t="s">
        <v>51</v>
      </c>
      <c r="D144" t="s">
        <v>52</v>
      </c>
      <c r="E144" t="s">
        <v>34</v>
      </c>
      <c r="F144" t="s">
        <v>35</v>
      </c>
      <c r="G144" t="s">
        <v>55</v>
      </c>
      <c r="H144" t="s">
        <v>23</v>
      </c>
      <c r="I144" t="s">
        <v>94</v>
      </c>
      <c r="J144" t="s">
        <v>57</v>
      </c>
      <c r="K144" s="6">
        <f t="shared" si="5"/>
        <v>0.75</v>
      </c>
      <c r="L144" t="s">
        <v>26</v>
      </c>
      <c r="M144">
        <f t="shared" si="4"/>
        <v>1</v>
      </c>
      <c r="N144" t="s">
        <v>27</v>
      </c>
      <c r="O144" t="s">
        <v>103</v>
      </c>
      <c r="P144" s="2">
        <v>548</v>
      </c>
      <c r="Q144" t="s">
        <v>104</v>
      </c>
      <c r="R144" t="s">
        <v>42</v>
      </c>
      <c r="S144" t="s">
        <v>50</v>
      </c>
      <c r="T144" t="s">
        <v>43</v>
      </c>
    </row>
    <row r="145" spans="1:20" x14ac:dyDescent="0.25">
      <c r="A145" s="2">
        <v>144</v>
      </c>
      <c r="B145" s="2">
        <v>36986</v>
      </c>
      <c r="C145" t="s">
        <v>19</v>
      </c>
      <c r="D145" t="s">
        <v>66</v>
      </c>
      <c r="E145" t="s">
        <v>79</v>
      </c>
      <c r="F145" t="s">
        <v>80</v>
      </c>
      <c r="G145" t="s">
        <v>78</v>
      </c>
      <c r="H145" t="s">
        <v>46</v>
      </c>
      <c r="I145" t="s">
        <v>24</v>
      </c>
      <c r="J145" t="s">
        <v>25</v>
      </c>
      <c r="K145" s="6">
        <f t="shared" si="5"/>
        <v>2.4</v>
      </c>
      <c r="L145" t="s">
        <v>64</v>
      </c>
      <c r="M145">
        <f t="shared" si="4"/>
        <v>7</v>
      </c>
      <c r="N145" t="s">
        <v>40</v>
      </c>
      <c r="O145" t="s">
        <v>28</v>
      </c>
      <c r="P145" s="2">
        <v>516</v>
      </c>
      <c r="Q145" t="s">
        <v>74</v>
      </c>
      <c r="R145" t="s">
        <v>75</v>
      </c>
      <c r="S145" t="s">
        <v>58</v>
      </c>
      <c r="T145" t="s">
        <v>43</v>
      </c>
    </row>
    <row r="146" spans="1:20" x14ac:dyDescent="0.25">
      <c r="A146" s="2">
        <v>145</v>
      </c>
      <c r="B146" s="2">
        <v>25969</v>
      </c>
      <c r="C146" t="s">
        <v>33</v>
      </c>
      <c r="D146" t="s">
        <v>66</v>
      </c>
      <c r="E146" t="s">
        <v>99</v>
      </c>
      <c r="F146" t="s">
        <v>100</v>
      </c>
      <c r="G146" t="s">
        <v>63</v>
      </c>
      <c r="H146" t="s">
        <v>71</v>
      </c>
      <c r="I146" t="s">
        <v>56</v>
      </c>
      <c r="J146" t="s">
        <v>57</v>
      </c>
      <c r="K146" s="6">
        <f t="shared" si="5"/>
        <v>2.2000000000000002</v>
      </c>
      <c r="L146" t="s">
        <v>49</v>
      </c>
      <c r="M146">
        <f t="shared" si="4"/>
        <v>3</v>
      </c>
      <c r="N146" t="s">
        <v>40</v>
      </c>
      <c r="O146" t="s">
        <v>103</v>
      </c>
      <c r="P146" s="2">
        <v>197</v>
      </c>
      <c r="Q146" t="s">
        <v>104</v>
      </c>
      <c r="R146" t="s">
        <v>30</v>
      </c>
      <c r="S146" t="s">
        <v>31</v>
      </c>
      <c r="T146" t="s">
        <v>32</v>
      </c>
    </row>
    <row r="147" spans="1:20" x14ac:dyDescent="0.25">
      <c r="A147" s="2">
        <v>146</v>
      </c>
      <c r="B147" s="2">
        <v>87581</v>
      </c>
      <c r="C147" t="s">
        <v>33</v>
      </c>
      <c r="D147" t="s">
        <v>52</v>
      </c>
      <c r="E147" t="s">
        <v>79</v>
      </c>
      <c r="F147" t="s">
        <v>80</v>
      </c>
      <c r="G147" t="s">
        <v>36</v>
      </c>
      <c r="H147" t="s">
        <v>37</v>
      </c>
      <c r="I147" t="s">
        <v>24</v>
      </c>
      <c r="J147" t="s">
        <v>25</v>
      </c>
      <c r="K147" s="6">
        <f t="shared" si="5"/>
        <v>1.2</v>
      </c>
      <c r="L147" t="s">
        <v>49</v>
      </c>
      <c r="M147">
        <f t="shared" si="4"/>
        <v>3</v>
      </c>
      <c r="N147" t="s">
        <v>104</v>
      </c>
      <c r="O147" t="s">
        <v>103</v>
      </c>
      <c r="P147" s="2">
        <v>2386</v>
      </c>
      <c r="Q147" t="s">
        <v>29</v>
      </c>
      <c r="R147" t="s">
        <v>42</v>
      </c>
      <c r="S147" t="s">
        <v>58</v>
      </c>
      <c r="T147" t="s">
        <v>43</v>
      </c>
    </row>
    <row r="148" spans="1:20" x14ac:dyDescent="0.25">
      <c r="A148" s="2">
        <v>147</v>
      </c>
      <c r="B148" s="2">
        <v>52273</v>
      </c>
      <c r="C148" t="s">
        <v>19</v>
      </c>
      <c r="D148" t="s">
        <v>52</v>
      </c>
      <c r="E148" t="s">
        <v>89</v>
      </c>
      <c r="F148" t="s">
        <v>90</v>
      </c>
      <c r="G148" t="s">
        <v>63</v>
      </c>
      <c r="H148" t="s">
        <v>23</v>
      </c>
      <c r="I148" t="s">
        <v>38</v>
      </c>
      <c r="J148" t="s">
        <v>57</v>
      </c>
      <c r="K148" s="6">
        <f t="shared" si="5"/>
        <v>2</v>
      </c>
      <c r="L148" t="s">
        <v>49</v>
      </c>
      <c r="M148">
        <f t="shared" si="4"/>
        <v>3</v>
      </c>
      <c r="N148" t="s">
        <v>27</v>
      </c>
      <c r="O148" t="s">
        <v>28</v>
      </c>
      <c r="P148" s="2">
        <v>423</v>
      </c>
      <c r="Q148" t="s">
        <v>104</v>
      </c>
      <c r="R148" t="s">
        <v>30</v>
      </c>
      <c r="S148" t="s">
        <v>69</v>
      </c>
      <c r="T148" t="s">
        <v>59</v>
      </c>
    </row>
    <row r="149" spans="1:20" x14ac:dyDescent="0.25">
      <c r="A149" s="2">
        <v>148</v>
      </c>
      <c r="B149" s="2">
        <v>77176</v>
      </c>
      <c r="C149" t="s">
        <v>33</v>
      </c>
      <c r="D149" t="s">
        <v>66</v>
      </c>
      <c r="E149" t="s">
        <v>89</v>
      </c>
      <c r="F149" t="s">
        <v>90</v>
      </c>
      <c r="G149" t="s">
        <v>22</v>
      </c>
      <c r="H149" t="s">
        <v>23</v>
      </c>
      <c r="I149" t="s">
        <v>47</v>
      </c>
      <c r="J149" t="s">
        <v>48</v>
      </c>
      <c r="K149" s="6">
        <f t="shared" si="5"/>
        <v>0.625</v>
      </c>
      <c r="L149" t="s">
        <v>64</v>
      </c>
      <c r="M149">
        <f t="shared" si="4"/>
        <v>7</v>
      </c>
      <c r="N149" t="s">
        <v>27</v>
      </c>
      <c r="O149" t="s">
        <v>65</v>
      </c>
      <c r="P149" s="2">
        <v>549</v>
      </c>
      <c r="Q149" t="s">
        <v>29</v>
      </c>
      <c r="R149" t="s">
        <v>68</v>
      </c>
      <c r="S149" t="s">
        <v>31</v>
      </c>
      <c r="T149" t="s">
        <v>59</v>
      </c>
    </row>
    <row r="150" spans="1:20" x14ac:dyDescent="0.25">
      <c r="A150" s="2">
        <v>149</v>
      </c>
      <c r="B150" s="2">
        <v>34673</v>
      </c>
      <c r="C150" t="s">
        <v>33</v>
      </c>
      <c r="D150" t="s">
        <v>52</v>
      </c>
      <c r="E150" t="s">
        <v>89</v>
      </c>
      <c r="F150" t="s">
        <v>90</v>
      </c>
      <c r="G150" t="s">
        <v>22</v>
      </c>
      <c r="H150" t="s">
        <v>23</v>
      </c>
      <c r="I150" t="s">
        <v>56</v>
      </c>
      <c r="J150" t="s">
        <v>25</v>
      </c>
      <c r="K150" s="6">
        <f t="shared" si="5"/>
        <v>2.2000000000000002</v>
      </c>
      <c r="L150" t="s">
        <v>64</v>
      </c>
      <c r="M150">
        <f t="shared" si="4"/>
        <v>7</v>
      </c>
      <c r="N150" t="s">
        <v>40</v>
      </c>
      <c r="O150" t="s">
        <v>103</v>
      </c>
      <c r="P150" s="2">
        <v>625</v>
      </c>
      <c r="Q150" t="s">
        <v>41</v>
      </c>
      <c r="R150" t="s">
        <v>30</v>
      </c>
      <c r="S150" t="s">
        <v>50</v>
      </c>
      <c r="T150" t="s">
        <v>59</v>
      </c>
    </row>
    <row r="151" spans="1:20" x14ac:dyDescent="0.25">
      <c r="A151" s="2">
        <v>150</v>
      </c>
      <c r="B151" s="2">
        <v>24061</v>
      </c>
      <c r="C151" t="s">
        <v>51</v>
      </c>
      <c r="D151" t="s">
        <v>52</v>
      </c>
      <c r="E151" t="s">
        <v>93</v>
      </c>
      <c r="F151" t="s">
        <v>62</v>
      </c>
      <c r="G151" t="s">
        <v>55</v>
      </c>
      <c r="H151" t="s">
        <v>23</v>
      </c>
      <c r="I151" t="s">
        <v>38</v>
      </c>
      <c r="J151" t="s">
        <v>86</v>
      </c>
      <c r="K151" s="6">
        <f t="shared" si="5"/>
        <v>2</v>
      </c>
      <c r="L151" t="s">
        <v>26</v>
      </c>
      <c r="M151">
        <f t="shared" si="4"/>
        <v>1</v>
      </c>
      <c r="N151" t="s">
        <v>104</v>
      </c>
      <c r="O151" t="s">
        <v>103</v>
      </c>
      <c r="P151" s="2">
        <v>731</v>
      </c>
      <c r="Q151" t="s">
        <v>29</v>
      </c>
      <c r="R151" t="s">
        <v>75</v>
      </c>
      <c r="S151" t="s">
        <v>58</v>
      </c>
      <c r="T151" t="s">
        <v>43</v>
      </c>
    </row>
    <row r="152" spans="1:20" x14ac:dyDescent="0.25">
      <c r="A152" s="2">
        <v>151</v>
      </c>
      <c r="B152" s="2">
        <v>57265</v>
      </c>
      <c r="C152" t="s">
        <v>19</v>
      </c>
      <c r="D152" t="s">
        <v>52</v>
      </c>
      <c r="E152" t="s">
        <v>44</v>
      </c>
      <c r="F152" t="s">
        <v>44</v>
      </c>
      <c r="G152" t="s">
        <v>70</v>
      </c>
      <c r="H152" t="s">
        <v>23</v>
      </c>
      <c r="I152" t="s">
        <v>47</v>
      </c>
      <c r="J152" t="s">
        <v>57</v>
      </c>
      <c r="K152" s="6">
        <f t="shared" si="5"/>
        <v>0.625</v>
      </c>
      <c r="L152" t="s">
        <v>64</v>
      </c>
      <c r="M152">
        <f t="shared" si="4"/>
        <v>7</v>
      </c>
      <c r="N152" t="s">
        <v>27</v>
      </c>
      <c r="O152" t="s">
        <v>103</v>
      </c>
      <c r="P152" s="2">
        <v>882</v>
      </c>
      <c r="Q152" t="s">
        <v>29</v>
      </c>
      <c r="R152" t="s">
        <v>68</v>
      </c>
      <c r="S152" t="s">
        <v>69</v>
      </c>
      <c r="T152" t="s">
        <v>43</v>
      </c>
    </row>
    <row r="153" spans="1:20" x14ac:dyDescent="0.25">
      <c r="A153" s="2">
        <v>152</v>
      </c>
      <c r="B153" s="2">
        <v>86416</v>
      </c>
      <c r="C153" t="s">
        <v>51</v>
      </c>
      <c r="D153" t="s">
        <v>52</v>
      </c>
      <c r="E153" t="s">
        <v>44</v>
      </c>
      <c r="F153" t="s">
        <v>44</v>
      </c>
      <c r="G153" t="s">
        <v>63</v>
      </c>
      <c r="H153" t="s">
        <v>71</v>
      </c>
      <c r="I153" t="s">
        <v>94</v>
      </c>
      <c r="J153" t="s">
        <v>25</v>
      </c>
      <c r="K153" s="6">
        <f t="shared" si="5"/>
        <v>1.5</v>
      </c>
      <c r="L153" t="s">
        <v>26</v>
      </c>
      <c r="M153">
        <f t="shared" si="4"/>
        <v>1</v>
      </c>
      <c r="N153" t="s">
        <v>40</v>
      </c>
      <c r="O153" t="s">
        <v>65</v>
      </c>
      <c r="P153" s="2">
        <v>364</v>
      </c>
      <c r="Q153" t="s">
        <v>29</v>
      </c>
      <c r="R153" t="s">
        <v>75</v>
      </c>
      <c r="S153" t="s">
        <v>31</v>
      </c>
      <c r="T153" t="s">
        <v>43</v>
      </c>
    </row>
    <row r="154" spans="1:20" x14ac:dyDescent="0.25">
      <c r="A154" s="2">
        <v>153</v>
      </c>
      <c r="B154" s="2">
        <v>21607</v>
      </c>
      <c r="C154" t="s">
        <v>33</v>
      </c>
      <c r="D154" t="s">
        <v>66</v>
      </c>
      <c r="E154" t="s">
        <v>84</v>
      </c>
      <c r="F154" t="s">
        <v>85</v>
      </c>
      <c r="G154" t="s">
        <v>22</v>
      </c>
      <c r="H154" t="s">
        <v>23</v>
      </c>
      <c r="I154" t="s">
        <v>83</v>
      </c>
      <c r="J154" t="s">
        <v>57</v>
      </c>
      <c r="K154" s="6">
        <f t="shared" si="5"/>
        <v>2.2000000000000002</v>
      </c>
      <c r="L154" t="s">
        <v>64</v>
      </c>
      <c r="M154">
        <f t="shared" si="4"/>
        <v>7</v>
      </c>
      <c r="N154" t="s">
        <v>27</v>
      </c>
      <c r="O154" t="s">
        <v>28</v>
      </c>
      <c r="P154" s="2">
        <v>402</v>
      </c>
      <c r="Q154" t="s">
        <v>74</v>
      </c>
      <c r="R154" t="s">
        <v>75</v>
      </c>
      <c r="S154" t="s">
        <v>50</v>
      </c>
      <c r="T154" t="s">
        <v>32</v>
      </c>
    </row>
    <row r="155" spans="1:20" x14ac:dyDescent="0.25">
      <c r="A155" s="2">
        <v>154</v>
      </c>
      <c r="B155" s="2">
        <v>84455</v>
      </c>
      <c r="C155" t="s">
        <v>19</v>
      </c>
      <c r="D155" t="s">
        <v>52</v>
      </c>
      <c r="E155" t="s">
        <v>34</v>
      </c>
      <c r="F155" t="s">
        <v>35</v>
      </c>
      <c r="G155" t="s">
        <v>45</v>
      </c>
      <c r="H155" t="s">
        <v>23</v>
      </c>
      <c r="I155" t="s">
        <v>56</v>
      </c>
      <c r="J155" t="s">
        <v>57</v>
      </c>
      <c r="K155" s="6">
        <f t="shared" si="5"/>
        <v>1.1000000000000001</v>
      </c>
      <c r="L155" t="s">
        <v>64</v>
      </c>
      <c r="M155">
        <f t="shared" si="4"/>
        <v>7</v>
      </c>
      <c r="N155" t="s">
        <v>104</v>
      </c>
      <c r="O155" t="s">
        <v>102</v>
      </c>
      <c r="P155" s="2">
        <v>566</v>
      </c>
      <c r="Q155" t="s">
        <v>74</v>
      </c>
      <c r="R155" t="s">
        <v>42</v>
      </c>
      <c r="S155" t="s">
        <v>31</v>
      </c>
      <c r="T155" t="s">
        <v>43</v>
      </c>
    </row>
    <row r="156" spans="1:20" x14ac:dyDescent="0.25">
      <c r="A156" s="2">
        <v>155</v>
      </c>
      <c r="B156" s="2">
        <v>52789</v>
      </c>
      <c r="C156" t="s">
        <v>96</v>
      </c>
      <c r="D156" t="s">
        <v>52</v>
      </c>
      <c r="E156" t="s">
        <v>99</v>
      </c>
      <c r="F156" t="s">
        <v>100</v>
      </c>
      <c r="G156" t="s">
        <v>92</v>
      </c>
      <c r="H156" t="s">
        <v>37</v>
      </c>
      <c r="I156" t="s">
        <v>67</v>
      </c>
      <c r="J156" t="s">
        <v>57</v>
      </c>
      <c r="K156" s="6">
        <f t="shared" si="5"/>
        <v>1.1000000000000001</v>
      </c>
      <c r="L156" t="s">
        <v>26</v>
      </c>
      <c r="M156">
        <f t="shared" si="4"/>
        <v>1</v>
      </c>
      <c r="N156" t="s">
        <v>27</v>
      </c>
      <c r="O156" t="s">
        <v>103</v>
      </c>
      <c r="P156" s="2">
        <v>2620</v>
      </c>
      <c r="Q156" t="s">
        <v>41</v>
      </c>
      <c r="R156" t="s">
        <v>42</v>
      </c>
      <c r="S156" t="s">
        <v>50</v>
      </c>
      <c r="T156" t="s">
        <v>32</v>
      </c>
    </row>
    <row r="157" spans="1:20" x14ac:dyDescent="0.25">
      <c r="A157" s="2">
        <v>156</v>
      </c>
      <c r="B157" s="2">
        <v>41590</v>
      </c>
      <c r="C157" t="s">
        <v>33</v>
      </c>
      <c r="D157" t="s">
        <v>52</v>
      </c>
      <c r="E157" t="s">
        <v>89</v>
      </c>
      <c r="F157" t="s">
        <v>90</v>
      </c>
      <c r="G157" t="s">
        <v>22</v>
      </c>
      <c r="H157" t="s">
        <v>23</v>
      </c>
      <c r="I157" t="s">
        <v>56</v>
      </c>
      <c r="J157" t="s">
        <v>25</v>
      </c>
      <c r="K157" s="6">
        <f t="shared" si="5"/>
        <v>0.55000000000000004</v>
      </c>
      <c r="L157" t="s">
        <v>26</v>
      </c>
      <c r="M157">
        <f t="shared" si="4"/>
        <v>1</v>
      </c>
      <c r="N157" t="s">
        <v>40</v>
      </c>
      <c r="O157" t="s">
        <v>103</v>
      </c>
      <c r="P157" s="2">
        <v>641</v>
      </c>
      <c r="Q157" t="s">
        <v>41</v>
      </c>
      <c r="R157" t="s">
        <v>68</v>
      </c>
      <c r="S157" t="s">
        <v>69</v>
      </c>
      <c r="T157" t="s">
        <v>59</v>
      </c>
    </row>
    <row r="158" spans="1:20" x14ac:dyDescent="0.25">
      <c r="A158" s="2">
        <v>157</v>
      </c>
      <c r="B158" s="2">
        <v>90227</v>
      </c>
      <c r="C158" t="s">
        <v>33</v>
      </c>
      <c r="D158" t="s">
        <v>52</v>
      </c>
      <c r="E158" t="s">
        <v>44</v>
      </c>
      <c r="F158" t="s">
        <v>44</v>
      </c>
      <c r="G158" t="s">
        <v>92</v>
      </c>
      <c r="H158" t="s">
        <v>46</v>
      </c>
      <c r="I158" t="s">
        <v>91</v>
      </c>
      <c r="J158" t="s">
        <v>25</v>
      </c>
      <c r="K158" s="6">
        <f t="shared" si="5"/>
        <v>2.2000000000000002</v>
      </c>
      <c r="L158" t="s">
        <v>64</v>
      </c>
      <c r="M158">
        <f t="shared" si="4"/>
        <v>7</v>
      </c>
      <c r="N158" t="s">
        <v>27</v>
      </c>
      <c r="O158" t="s">
        <v>82</v>
      </c>
      <c r="P158" s="2">
        <v>321</v>
      </c>
      <c r="Q158" t="s">
        <v>41</v>
      </c>
      <c r="R158" t="s">
        <v>30</v>
      </c>
      <c r="S158" t="s">
        <v>31</v>
      </c>
      <c r="T158" t="s">
        <v>43</v>
      </c>
    </row>
    <row r="159" spans="1:20" x14ac:dyDescent="0.25">
      <c r="A159" s="2">
        <v>158</v>
      </c>
      <c r="B159" s="2">
        <v>39055</v>
      </c>
      <c r="C159" t="s">
        <v>33</v>
      </c>
      <c r="D159" t="s">
        <v>66</v>
      </c>
      <c r="E159" t="s">
        <v>101</v>
      </c>
      <c r="F159" t="s">
        <v>80</v>
      </c>
      <c r="G159" t="s">
        <v>63</v>
      </c>
      <c r="H159" t="s">
        <v>46</v>
      </c>
      <c r="I159" t="s">
        <v>47</v>
      </c>
      <c r="J159" t="s">
        <v>48</v>
      </c>
      <c r="K159" s="6">
        <f t="shared" si="5"/>
        <v>0.625</v>
      </c>
      <c r="L159" t="s">
        <v>26</v>
      </c>
      <c r="M159">
        <f t="shared" si="4"/>
        <v>1</v>
      </c>
      <c r="N159" t="s">
        <v>104</v>
      </c>
      <c r="O159" t="s">
        <v>82</v>
      </c>
      <c r="P159" s="2">
        <v>415</v>
      </c>
      <c r="Q159" t="s">
        <v>104</v>
      </c>
      <c r="R159" t="s">
        <v>68</v>
      </c>
      <c r="S159" t="s">
        <v>31</v>
      </c>
      <c r="T159" t="s">
        <v>32</v>
      </c>
    </row>
    <row r="160" spans="1:20" x14ac:dyDescent="0.25">
      <c r="A160" s="2">
        <v>159</v>
      </c>
      <c r="B160" s="2">
        <v>10628</v>
      </c>
      <c r="C160" t="s">
        <v>96</v>
      </c>
      <c r="D160" t="s">
        <v>66</v>
      </c>
      <c r="E160" t="s">
        <v>84</v>
      </c>
      <c r="F160" t="s">
        <v>85</v>
      </c>
      <c r="G160" t="s">
        <v>45</v>
      </c>
      <c r="H160" t="s">
        <v>23</v>
      </c>
      <c r="I160" t="s">
        <v>94</v>
      </c>
      <c r="J160" t="s">
        <v>57</v>
      </c>
      <c r="K160" s="6">
        <f t="shared" si="5"/>
        <v>0.375</v>
      </c>
      <c r="L160" t="s">
        <v>49</v>
      </c>
      <c r="M160">
        <f t="shared" si="4"/>
        <v>3</v>
      </c>
      <c r="N160" t="s">
        <v>104</v>
      </c>
      <c r="O160" t="s">
        <v>72</v>
      </c>
      <c r="P160" s="2">
        <v>866</v>
      </c>
      <c r="Q160" t="s">
        <v>41</v>
      </c>
      <c r="R160" t="s">
        <v>68</v>
      </c>
      <c r="S160" t="s">
        <v>69</v>
      </c>
      <c r="T160" t="s">
        <v>32</v>
      </c>
    </row>
    <row r="161" spans="1:20" x14ac:dyDescent="0.25">
      <c r="A161" s="2">
        <v>160</v>
      </c>
      <c r="B161" s="2">
        <v>92761</v>
      </c>
      <c r="C161" t="s">
        <v>60</v>
      </c>
      <c r="D161" t="s">
        <v>66</v>
      </c>
      <c r="E161" t="s">
        <v>76</v>
      </c>
      <c r="F161" t="s">
        <v>77</v>
      </c>
      <c r="G161" t="s">
        <v>98</v>
      </c>
      <c r="H161" t="s">
        <v>46</v>
      </c>
      <c r="I161" t="s">
        <v>67</v>
      </c>
      <c r="J161" t="s">
        <v>25</v>
      </c>
      <c r="K161" s="6">
        <f t="shared" si="5"/>
        <v>2.2000000000000002</v>
      </c>
      <c r="L161" t="s">
        <v>64</v>
      </c>
      <c r="M161">
        <f t="shared" si="4"/>
        <v>7</v>
      </c>
      <c r="N161" t="s">
        <v>104</v>
      </c>
      <c r="O161" t="s">
        <v>103</v>
      </c>
      <c r="P161" s="2">
        <v>417</v>
      </c>
      <c r="Q161" t="s">
        <v>41</v>
      </c>
      <c r="R161" t="s">
        <v>75</v>
      </c>
      <c r="S161" t="s">
        <v>31</v>
      </c>
      <c r="T161" t="s">
        <v>43</v>
      </c>
    </row>
    <row r="162" spans="1:20" x14ac:dyDescent="0.25">
      <c r="A162" s="2">
        <v>161</v>
      </c>
      <c r="B162" s="2">
        <v>10221</v>
      </c>
      <c r="C162" t="s">
        <v>19</v>
      </c>
      <c r="D162" t="s">
        <v>66</v>
      </c>
      <c r="E162" t="s">
        <v>76</v>
      </c>
      <c r="F162" t="s">
        <v>77</v>
      </c>
      <c r="G162" t="s">
        <v>78</v>
      </c>
      <c r="H162" t="s">
        <v>71</v>
      </c>
      <c r="I162" t="s">
        <v>67</v>
      </c>
      <c r="J162" t="s">
        <v>57</v>
      </c>
      <c r="K162" s="6">
        <f t="shared" si="5"/>
        <v>1.1000000000000001</v>
      </c>
      <c r="L162" t="s">
        <v>26</v>
      </c>
      <c r="M162">
        <f t="shared" si="4"/>
        <v>1</v>
      </c>
      <c r="N162" t="s">
        <v>27</v>
      </c>
      <c r="O162" t="s">
        <v>103</v>
      </c>
      <c r="P162" s="2">
        <v>248</v>
      </c>
      <c r="Q162" t="s">
        <v>41</v>
      </c>
      <c r="R162" t="s">
        <v>42</v>
      </c>
      <c r="S162" t="s">
        <v>50</v>
      </c>
      <c r="T162" t="s">
        <v>43</v>
      </c>
    </row>
    <row r="163" spans="1:20" x14ac:dyDescent="0.25">
      <c r="A163" s="2">
        <v>162</v>
      </c>
      <c r="B163" s="2">
        <v>27850</v>
      </c>
      <c r="C163" t="s">
        <v>51</v>
      </c>
      <c r="D163" t="s">
        <v>52</v>
      </c>
      <c r="E163" t="s">
        <v>76</v>
      </c>
      <c r="F163" t="s">
        <v>77</v>
      </c>
      <c r="G163" t="s">
        <v>92</v>
      </c>
      <c r="H163" t="s">
        <v>73</v>
      </c>
      <c r="I163" t="s">
        <v>94</v>
      </c>
      <c r="J163" t="s">
        <v>48</v>
      </c>
      <c r="K163" s="6">
        <f t="shared" si="5"/>
        <v>1.5</v>
      </c>
      <c r="L163" t="s">
        <v>64</v>
      </c>
      <c r="M163">
        <f t="shared" si="4"/>
        <v>7</v>
      </c>
      <c r="N163" t="s">
        <v>40</v>
      </c>
      <c r="O163" t="s">
        <v>103</v>
      </c>
      <c r="P163" s="2">
        <v>1379</v>
      </c>
      <c r="Q163" t="s">
        <v>29</v>
      </c>
      <c r="R163" t="s">
        <v>30</v>
      </c>
      <c r="S163" t="s">
        <v>50</v>
      </c>
      <c r="T163" t="s">
        <v>43</v>
      </c>
    </row>
    <row r="164" spans="1:20" x14ac:dyDescent="0.25">
      <c r="A164" s="2">
        <v>163</v>
      </c>
      <c r="B164" s="2">
        <v>95350</v>
      </c>
      <c r="C164" t="s">
        <v>60</v>
      </c>
      <c r="D164" t="s">
        <v>66</v>
      </c>
      <c r="E164" t="s">
        <v>99</v>
      </c>
      <c r="F164" t="s">
        <v>100</v>
      </c>
      <c r="G164" t="s">
        <v>63</v>
      </c>
      <c r="H164" t="s">
        <v>71</v>
      </c>
      <c r="I164" t="s">
        <v>91</v>
      </c>
      <c r="J164" t="s">
        <v>57</v>
      </c>
      <c r="K164" s="6">
        <f t="shared" si="5"/>
        <v>2.2000000000000002</v>
      </c>
      <c r="L164" t="s">
        <v>64</v>
      </c>
      <c r="M164">
        <f t="shared" si="4"/>
        <v>7</v>
      </c>
      <c r="N164" t="s">
        <v>27</v>
      </c>
      <c r="O164" t="s">
        <v>72</v>
      </c>
      <c r="P164" s="2">
        <v>314</v>
      </c>
      <c r="Q164" t="s">
        <v>29</v>
      </c>
      <c r="R164" t="s">
        <v>30</v>
      </c>
      <c r="S164" t="s">
        <v>58</v>
      </c>
      <c r="T164" t="s">
        <v>32</v>
      </c>
    </row>
    <row r="165" spans="1:20" x14ac:dyDescent="0.25">
      <c r="A165" s="2">
        <v>164</v>
      </c>
      <c r="B165" s="2">
        <v>21514</v>
      </c>
      <c r="C165" t="s">
        <v>19</v>
      </c>
      <c r="D165" t="s">
        <v>66</v>
      </c>
      <c r="E165" t="s">
        <v>53</v>
      </c>
      <c r="F165" t="s">
        <v>54</v>
      </c>
      <c r="G165" t="s">
        <v>36</v>
      </c>
      <c r="H165" t="s">
        <v>73</v>
      </c>
      <c r="I165" t="s">
        <v>67</v>
      </c>
      <c r="J165" t="s">
        <v>25</v>
      </c>
      <c r="K165" s="6">
        <f t="shared" si="5"/>
        <v>2.2000000000000002</v>
      </c>
      <c r="L165" t="s">
        <v>64</v>
      </c>
      <c r="M165">
        <f t="shared" si="4"/>
        <v>7</v>
      </c>
      <c r="N165" t="s">
        <v>40</v>
      </c>
      <c r="O165" t="s">
        <v>103</v>
      </c>
      <c r="P165" s="2">
        <v>1272</v>
      </c>
      <c r="Q165" t="s">
        <v>41</v>
      </c>
      <c r="R165" t="s">
        <v>75</v>
      </c>
      <c r="S165" t="s">
        <v>69</v>
      </c>
      <c r="T165" t="s">
        <v>59</v>
      </c>
    </row>
    <row r="166" spans="1:20" x14ac:dyDescent="0.25">
      <c r="A166" s="2">
        <v>165</v>
      </c>
      <c r="B166" s="2">
        <v>35705</v>
      </c>
      <c r="C166" t="s">
        <v>51</v>
      </c>
      <c r="D166" t="s">
        <v>66</v>
      </c>
      <c r="E166" t="s">
        <v>84</v>
      </c>
      <c r="F166" t="s">
        <v>85</v>
      </c>
      <c r="G166" t="s">
        <v>45</v>
      </c>
      <c r="H166" t="s">
        <v>71</v>
      </c>
      <c r="I166" t="s">
        <v>38</v>
      </c>
      <c r="J166" t="s">
        <v>57</v>
      </c>
      <c r="K166" s="6">
        <f t="shared" si="5"/>
        <v>0.5</v>
      </c>
      <c r="L166" t="s">
        <v>64</v>
      </c>
      <c r="M166">
        <f t="shared" si="4"/>
        <v>7</v>
      </c>
      <c r="N166" t="s">
        <v>27</v>
      </c>
      <c r="O166" t="s">
        <v>28</v>
      </c>
      <c r="P166" s="2">
        <v>208</v>
      </c>
      <c r="Q166" t="s">
        <v>104</v>
      </c>
      <c r="R166" t="s">
        <v>68</v>
      </c>
      <c r="S166" t="s">
        <v>50</v>
      </c>
      <c r="T166" t="s">
        <v>32</v>
      </c>
    </row>
    <row r="167" spans="1:20" x14ac:dyDescent="0.25">
      <c r="A167" s="2">
        <v>166</v>
      </c>
      <c r="B167" s="2">
        <v>50112</v>
      </c>
      <c r="C167" t="s">
        <v>33</v>
      </c>
      <c r="D167" t="s">
        <v>66</v>
      </c>
      <c r="E167" t="s">
        <v>101</v>
      </c>
      <c r="F167" t="s">
        <v>80</v>
      </c>
      <c r="G167" t="s">
        <v>98</v>
      </c>
      <c r="H167" t="s">
        <v>46</v>
      </c>
      <c r="I167" t="s">
        <v>56</v>
      </c>
      <c r="J167" t="s">
        <v>57</v>
      </c>
      <c r="K167" s="6">
        <f t="shared" si="5"/>
        <v>0.55000000000000004</v>
      </c>
      <c r="L167" t="s">
        <v>64</v>
      </c>
      <c r="M167">
        <f t="shared" si="4"/>
        <v>7</v>
      </c>
      <c r="N167" t="s">
        <v>27</v>
      </c>
      <c r="O167" t="s">
        <v>28</v>
      </c>
      <c r="P167" s="2">
        <v>364</v>
      </c>
      <c r="Q167" t="s">
        <v>74</v>
      </c>
      <c r="R167" t="s">
        <v>68</v>
      </c>
      <c r="S167" t="s">
        <v>50</v>
      </c>
      <c r="T167" t="s">
        <v>32</v>
      </c>
    </row>
    <row r="168" spans="1:20" x14ac:dyDescent="0.25">
      <c r="A168" s="2">
        <v>167</v>
      </c>
      <c r="B168" s="2">
        <v>52854</v>
      </c>
      <c r="C168" t="s">
        <v>51</v>
      </c>
      <c r="D168" t="s">
        <v>66</v>
      </c>
      <c r="E168" t="s">
        <v>99</v>
      </c>
      <c r="F168" t="s">
        <v>100</v>
      </c>
      <c r="G168" t="s">
        <v>22</v>
      </c>
      <c r="H168" t="s">
        <v>71</v>
      </c>
      <c r="I168" t="s">
        <v>83</v>
      </c>
      <c r="J168" t="s">
        <v>57</v>
      </c>
      <c r="K168" s="6">
        <f t="shared" si="5"/>
        <v>0.55000000000000004</v>
      </c>
      <c r="L168" t="s">
        <v>49</v>
      </c>
      <c r="M168">
        <f t="shared" si="4"/>
        <v>3</v>
      </c>
      <c r="N168" t="s">
        <v>27</v>
      </c>
      <c r="O168" t="s">
        <v>102</v>
      </c>
      <c r="P168" s="2">
        <v>155</v>
      </c>
      <c r="Q168" t="s">
        <v>29</v>
      </c>
      <c r="R168" t="s">
        <v>68</v>
      </c>
      <c r="S168" t="s">
        <v>50</v>
      </c>
      <c r="T168" t="s">
        <v>32</v>
      </c>
    </row>
    <row r="169" spans="1:20" x14ac:dyDescent="0.25">
      <c r="A169" s="2">
        <v>168</v>
      </c>
      <c r="B169" s="2">
        <v>51955</v>
      </c>
      <c r="C169" t="s">
        <v>33</v>
      </c>
      <c r="D169" t="s">
        <v>52</v>
      </c>
      <c r="E169" t="s">
        <v>87</v>
      </c>
      <c r="F169" t="s">
        <v>88</v>
      </c>
      <c r="G169" t="s">
        <v>81</v>
      </c>
      <c r="H169" t="s">
        <v>23</v>
      </c>
      <c r="I169" t="s">
        <v>47</v>
      </c>
      <c r="J169" t="s">
        <v>48</v>
      </c>
      <c r="K169" s="6">
        <f t="shared" si="5"/>
        <v>2.5</v>
      </c>
      <c r="L169" t="s">
        <v>64</v>
      </c>
      <c r="M169">
        <f t="shared" si="4"/>
        <v>7</v>
      </c>
      <c r="N169" t="s">
        <v>40</v>
      </c>
      <c r="O169" t="s">
        <v>102</v>
      </c>
      <c r="P169" s="2">
        <v>659</v>
      </c>
      <c r="Q169" t="s">
        <v>29</v>
      </c>
      <c r="R169" t="s">
        <v>30</v>
      </c>
      <c r="S169" t="s">
        <v>50</v>
      </c>
      <c r="T169" t="s">
        <v>59</v>
      </c>
    </row>
    <row r="170" spans="1:20" x14ac:dyDescent="0.25">
      <c r="A170" s="2">
        <v>169</v>
      </c>
      <c r="B170" s="2">
        <v>94563</v>
      </c>
      <c r="C170" t="s">
        <v>19</v>
      </c>
      <c r="D170" t="s">
        <v>66</v>
      </c>
      <c r="E170" t="s">
        <v>20</v>
      </c>
      <c r="F170" t="s">
        <v>21</v>
      </c>
      <c r="G170" t="s">
        <v>22</v>
      </c>
      <c r="H170" t="s">
        <v>46</v>
      </c>
      <c r="I170" t="s">
        <v>24</v>
      </c>
      <c r="J170" t="s">
        <v>25</v>
      </c>
      <c r="K170" s="6">
        <f t="shared" si="5"/>
        <v>1.2</v>
      </c>
      <c r="L170" t="s">
        <v>64</v>
      </c>
      <c r="M170">
        <f t="shared" si="4"/>
        <v>7</v>
      </c>
      <c r="N170" t="s">
        <v>40</v>
      </c>
      <c r="O170" t="s">
        <v>65</v>
      </c>
      <c r="P170" s="2">
        <v>593</v>
      </c>
      <c r="Q170" t="s">
        <v>104</v>
      </c>
      <c r="R170" t="s">
        <v>42</v>
      </c>
      <c r="S170" t="s">
        <v>50</v>
      </c>
      <c r="T170" t="s">
        <v>32</v>
      </c>
    </row>
    <row r="171" spans="1:20" x14ac:dyDescent="0.25">
      <c r="A171" s="2">
        <v>170</v>
      </c>
      <c r="B171" s="2">
        <v>97122</v>
      </c>
      <c r="C171" t="s">
        <v>19</v>
      </c>
      <c r="D171" t="s">
        <v>52</v>
      </c>
      <c r="E171" t="s">
        <v>99</v>
      </c>
      <c r="F171" t="s">
        <v>100</v>
      </c>
      <c r="G171" t="s">
        <v>55</v>
      </c>
      <c r="H171" t="s">
        <v>23</v>
      </c>
      <c r="I171" t="s">
        <v>38</v>
      </c>
      <c r="J171" t="s">
        <v>57</v>
      </c>
      <c r="K171" s="6">
        <f t="shared" si="5"/>
        <v>2</v>
      </c>
      <c r="L171" t="s">
        <v>26</v>
      </c>
      <c r="M171">
        <f t="shared" si="4"/>
        <v>1</v>
      </c>
      <c r="N171" t="s">
        <v>40</v>
      </c>
      <c r="O171" t="s">
        <v>82</v>
      </c>
      <c r="P171" s="2">
        <v>410</v>
      </c>
      <c r="Q171" t="s">
        <v>74</v>
      </c>
      <c r="R171" t="s">
        <v>75</v>
      </c>
      <c r="S171" t="s">
        <v>69</v>
      </c>
      <c r="T171" t="s">
        <v>32</v>
      </c>
    </row>
    <row r="172" spans="1:20" x14ac:dyDescent="0.25">
      <c r="A172" s="2">
        <v>171</v>
      </c>
      <c r="B172" s="2">
        <v>84995</v>
      </c>
      <c r="C172" t="s">
        <v>96</v>
      </c>
      <c r="D172" t="s">
        <v>66</v>
      </c>
      <c r="E172" t="s">
        <v>87</v>
      </c>
      <c r="F172" t="s">
        <v>88</v>
      </c>
      <c r="G172" t="s">
        <v>55</v>
      </c>
      <c r="H172" t="s">
        <v>46</v>
      </c>
      <c r="I172" t="s">
        <v>56</v>
      </c>
      <c r="J172" t="s">
        <v>57</v>
      </c>
      <c r="K172" s="6">
        <f t="shared" si="5"/>
        <v>1.1000000000000001</v>
      </c>
      <c r="L172" t="s">
        <v>64</v>
      </c>
      <c r="M172">
        <f t="shared" si="4"/>
        <v>7</v>
      </c>
      <c r="N172" t="s">
        <v>40</v>
      </c>
      <c r="O172" t="s">
        <v>103</v>
      </c>
      <c r="P172" s="2">
        <v>482</v>
      </c>
      <c r="Q172" t="s">
        <v>41</v>
      </c>
      <c r="R172" t="s">
        <v>42</v>
      </c>
      <c r="S172" t="s">
        <v>31</v>
      </c>
      <c r="T172" t="s">
        <v>59</v>
      </c>
    </row>
    <row r="173" spans="1:20" x14ac:dyDescent="0.25">
      <c r="A173" s="2">
        <v>172</v>
      </c>
      <c r="B173" s="2">
        <v>12488</v>
      </c>
      <c r="C173" t="s">
        <v>33</v>
      </c>
      <c r="D173" t="s">
        <v>66</v>
      </c>
      <c r="E173" t="s">
        <v>76</v>
      </c>
      <c r="F173" t="s">
        <v>77</v>
      </c>
      <c r="G173" t="s">
        <v>81</v>
      </c>
      <c r="H173" t="s">
        <v>23</v>
      </c>
      <c r="I173" t="s">
        <v>67</v>
      </c>
      <c r="J173" t="s">
        <v>57</v>
      </c>
      <c r="K173" s="6">
        <f t="shared" si="5"/>
        <v>0.55000000000000004</v>
      </c>
      <c r="L173" t="s">
        <v>64</v>
      </c>
      <c r="M173">
        <f t="shared" si="4"/>
        <v>7</v>
      </c>
      <c r="N173" t="s">
        <v>40</v>
      </c>
      <c r="O173" t="s">
        <v>28</v>
      </c>
      <c r="P173" s="2">
        <v>559</v>
      </c>
      <c r="Q173" t="s">
        <v>104</v>
      </c>
      <c r="R173" t="s">
        <v>68</v>
      </c>
      <c r="S173" t="s">
        <v>69</v>
      </c>
      <c r="T173" t="s">
        <v>43</v>
      </c>
    </row>
    <row r="174" spans="1:20" x14ac:dyDescent="0.25">
      <c r="A174" s="2">
        <v>173</v>
      </c>
      <c r="B174" s="2">
        <v>77718</v>
      </c>
      <c r="C174" t="s">
        <v>19</v>
      </c>
      <c r="D174" t="s">
        <v>66</v>
      </c>
      <c r="E174" t="s">
        <v>97</v>
      </c>
      <c r="F174" t="s">
        <v>62</v>
      </c>
      <c r="G174" t="s">
        <v>22</v>
      </c>
      <c r="H174" t="s">
        <v>73</v>
      </c>
      <c r="I174" t="s">
        <v>24</v>
      </c>
      <c r="J174" t="s">
        <v>25</v>
      </c>
      <c r="K174" s="6">
        <f t="shared" si="5"/>
        <v>0.6</v>
      </c>
      <c r="L174" t="s">
        <v>64</v>
      </c>
      <c r="M174">
        <f t="shared" si="4"/>
        <v>7</v>
      </c>
      <c r="N174" t="s">
        <v>27</v>
      </c>
      <c r="O174" t="s">
        <v>103</v>
      </c>
      <c r="P174" s="2">
        <v>918</v>
      </c>
      <c r="Q174" t="s">
        <v>74</v>
      </c>
      <c r="R174" t="s">
        <v>68</v>
      </c>
      <c r="S174" t="s">
        <v>50</v>
      </c>
      <c r="T174" t="s">
        <v>59</v>
      </c>
    </row>
    <row r="175" spans="1:20" x14ac:dyDescent="0.25">
      <c r="A175" s="2">
        <v>174</v>
      </c>
      <c r="B175" s="2">
        <v>98084</v>
      </c>
      <c r="C175" t="s">
        <v>33</v>
      </c>
      <c r="D175" t="s">
        <v>66</v>
      </c>
      <c r="E175" t="s">
        <v>79</v>
      </c>
      <c r="F175" t="s">
        <v>80</v>
      </c>
      <c r="G175" t="s">
        <v>36</v>
      </c>
      <c r="H175" t="s">
        <v>73</v>
      </c>
      <c r="I175" t="s">
        <v>47</v>
      </c>
      <c r="J175" t="s">
        <v>48</v>
      </c>
      <c r="K175" s="6">
        <f t="shared" si="5"/>
        <v>0.625</v>
      </c>
      <c r="L175" t="s">
        <v>49</v>
      </c>
      <c r="M175">
        <f t="shared" si="4"/>
        <v>3</v>
      </c>
      <c r="N175" t="s">
        <v>40</v>
      </c>
      <c r="O175" t="s">
        <v>28</v>
      </c>
      <c r="P175" s="2">
        <v>1481</v>
      </c>
      <c r="Q175" t="s">
        <v>74</v>
      </c>
      <c r="R175" t="s">
        <v>68</v>
      </c>
      <c r="S175" t="s">
        <v>58</v>
      </c>
      <c r="T175" t="s">
        <v>43</v>
      </c>
    </row>
    <row r="176" spans="1:20" x14ac:dyDescent="0.25">
      <c r="A176" s="2">
        <v>175</v>
      </c>
      <c r="B176" s="2">
        <v>26301</v>
      </c>
      <c r="C176" t="s">
        <v>19</v>
      </c>
      <c r="D176" t="s">
        <v>52</v>
      </c>
      <c r="E176" t="s">
        <v>87</v>
      </c>
      <c r="F176" t="s">
        <v>88</v>
      </c>
      <c r="G176" t="s">
        <v>78</v>
      </c>
      <c r="H176" t="s">
        <v>71</v>
      </c>
      <c r="I176" t="s">
        <v>56</v>
      </c>
      <c r="J176" t="s">
        <v>57</v>
      </c>
      <c r="K176" s="6">
        <f t="shared" si="5"/>
        <v>2.2000000000000002</v>
      </c>
      <c r="L176" t="s">
        <v>64</v>
      </c>
      <c r="M176">
        <f t="shared" si="4"/>
        <v>7</v>
      </c>
      <c r="N176" t="s">
        <v>40</v>
      </c>
      <c r="O176" t="s">
        <v>82</v>
      </c>
      <c r="P176" s="2">
        <v>253</v>
      </c>
      <c r="Q176" t="s">
        <v>74</v>
      </c>
      <c r="R176" t="s">
        <v>30</v>
      </c>
      <c r="S176" t="s">
        <v>69</v>
      </c>
      <c r="T176" t="s">
        <v>59</v>
      </c>
    </row>
    <row r="177" spans="1:20" x14ac:dyDescent="0.25">
      <c r="A177" s="2">
        <v>176</v>
      </c>
      <c r="B177" s="2">
        <v>77951</v>
      </c>
      <c r="C177" t="s">
        <v>19</v>
      </c>
      <c r="D177" t="s">
        <v>52</v>
      </c>
      <c r="E177" t="s">
        <v>79</v>
      </c>
      <c r="F177" t="s">
        <v>80</v>
      </c>
      <c r="G177" t="s">
        <v>78</v>
      </c>
      <c r="H177" t="s">
        <v>73</v>
      </c>
      <c r="I177" t="s">
        <v>91</v>
      </c>
      <c r="J177" t="s">
        <v>57</v>
      </c>
      <c r="K177" s="6">
        <f t="shared" si="5"/>
        <v>2.2000000000000002</v>
      </c>
      <c r="L177" t="s">
        <v>26</v>
      </c>
      <c r="M177">
        <f t="shared" si="4"/>
        <v>1</v>
      </c>
      <c r="N177" t="s">
        <v>40</v>
      </c>
      <c r="O177" t="s">
        <v>103</v>
      </c>
      <c r="P177" s="2">
        <v>1091</v>
      </c>
      <c r="Q177" t="s">
        <v>29</v>
      </c>
      <c r="R177" t="s">
        <v>30</v>
      </c>
      <c r="S177" t="s">
        <v>58</v>
      </c>
      <c r="T177" t="s">
        <v>43</v>
      </c>
    </row>
    <row r="178" spans="1:20" x14ac:dyDescent="0.25">
      <c r="A178" s="2">
        <v>177</v>
      </c>
      <c r="B178" s="2">
        <v>66134</v>
      </c>
      <c r="C178" t="s">
        <v>33</v>
      </c>
      <c r="D178" t="s">
        <v>66</v>
      </c>
      <c r="E178" t="s">
        <v>89</v>
      </c>
      <c r="F178" t="s">
        <v>90</v>
      </c>
      <c r="G178" t="s">
        <v>36</v>
      </c>
      <c r="H178" t="s">
        <v>73</v>
      </c>
      <c r="I178" t="s">
        <v>47</v>
      </c>
      <c r="J178" t="s">
        <v>48</v>
      </c>
      <c r="K178" s="6">
        <f t="shared" si="5"/>
        <v>0.625</v>
      </c>
      <c r="L178" t="s">
        <v>64</v>
      </c>
      <c r="M178">
        <f t="shared" si="4"/>
        <v>7</v>
      </c>
      <c r="N178" t="s">
        <v>27</v>
      </c>
      <c r="O178" t="s">
        <v>103</v>
      </c>
      <c r="P178" s="2">
        <v>1321</v>
      </c>
      <c r="Q178" t="s">
        <v>74</v>
      </c>
      <c r="R178" t="s">
        <v>68</v>
      </c>
      <c r="S178" t="s">
        <v>31</v>
      </c>
      <c r="T178" t="s">
        <v>59</v>
      </c>
    </row>
    <row r="179" spans="1:20" x14ac:dyDescent="0.25">
      <c r="A179" s="2">
        <v>178</v>
      </c>
      <c r="B179" s="2">
        <v>20621</v>
      </c>
      <c r="C179" t="s">
        <v>19</v>
      </c>
      <c r="D179" t="s">
        <v>52</v>
      </c>
      <c r="E179" t="s">
        <v>95</v>
      </c>
      <c r="F179" t="s">
        <v>21</v>
      </c>
      <c r="G179" t="s">
        <v>63</v>
      </c>
      <c r="H179" t="s">
        <v>46</v>
      </c>
      <c r="I179" t="s">
        <v>24</v>
      </c>
      <c r="J179" t="s">
        <v>57</v>
      </c>
      <c r="K179" s="6">
        <f t="shared" si="5"/>
        <v>1.2</v>
      </c>
      <c r="L179" t="s">
        <v>64</v>
      </c>
      <c r="M179">
        <f t="shared" si="4"/>
        <v>7</v>
      </c>
      <c r="N179" t="s">
        <v>27</v>
      </c>
      <c r="O179" t="s">
        <v>65</v>
      </c>
      <c r="P179" s="2">
        <v>516</v>
      </c>
      <c r="Q179" t="s">
        <v>29</v>
      </c>
      <c r="R179" t="s">
        <v>42</v>
      </c>
      <c r="S179" t="s">
        <v>58</v>
      </c>
      <c r="T179" t="s">
        <v>43</v>
      </c>
    </row>
    <row r="180" spans="1:20" x14ac:dyDescent="0.25">
      <c r="A180" s="2">
        <v>179</v>
      </c>
      <c r="B180" s="2">
        <v>14110</v>
      </c>
      <c r="C180" t="s">
        <v>19</v>
      </c>
      <c r="D180" t="s">
        <v>66</v>
      </c>
      <c r="E180" t="s">
        <v>34</v>
      </c>
      <c r="F180" t="s">
        <v>35</v>
      </c>
      <c r="G180" t="s">
        <v>63</v>
      </c>
      <c r="H180" t="s">
        <v>71</v>
      </c>
      <c r="I180" t="s">
        <v>47</v>
      </c>
      <c r="J180" t="s">
        <v>57</v>
      </c>
      <c r="K180" s="6">
        <f t="shared" si="5"/>
        <v>0.625</v>
      </c>
      <c r="L180" t="s">
        <v>26</v>
      </c>
      <c r="M180">
        <f t="shared" si="4"/>
        <v>1</v>
      </c>
      <c r="N180" t="s">
        <v>40</v>
      </c>
      <c r="O180" t="s">
        <v>103</v>
      </c>
      <c r="P180" s="2">
        <v>205</v>
      </c>
      <c r="Q180" t="s">
        <v>41</v>
      </c>
      <c r="R180" t="s">
        <v>68</v>
      </c>
      <c r="S180" t="s">
        <v>58</v>
      </c>
      <c r="T180" t="s">
        <v>43</v>
      </c>
    </row>
    <row r="181" spans="1:20" x14ac:dyDescent="0.25">
      <c r="A181" s="2">
        <v>180</v>
      </c>
      <c r="B181" s="2">
        <v>36544</v>
      </c>
      <c r="C181" t="s">
        <v>33</v>
      </c>
      <c r="D181" t="s">
        <v>66</v>
      </c>
      <c r="E181" t="s">
        <v>20</v>
      </c>
      <c r="F181" t="s">
        <v>21</v>
      </c>
      <c r="G181" t="s">
        <v>70</v>
      </c>
      <c r="H181" t="s">
        <v>37</v>
      </c>
      <c r="I181" t="s">
        <v>47</v>
      </c>
      <c r="J181" t="s">
        <v>48</v>
      </c>
      <c r="K181" s="6">
        <f t="shared" si="5"/>
        <v>2.5</v>
      </c>
      <c r="L181" t="s">
        <v>26</v>
      </c>
      <c r="M181">
        <f t="shared" si="4"/>
        <v>1</v>
      </c>
      <c r="N181" t="s">
        <v>27</v>
      </c>
      <c r="O181" t="s">
        <v>28</v>
      </c>
      <c r="P181" s="2">
        <v>1269</v>
      </c>
      <c r="Q181" t="s">
        <v>29</v>
      </c>
      <c r="R181" t="s">
        <v>30</v>
      </c>
      <c r="S181" t="s">
        <v>31</v>
      </c>
      <c r="T181" t="s">
        <v>32</v>
      </c>
    </row>
    <row r="182" spans="1:20" x14ac:dyDescent="0.25">
      <c r="A182" s="2">
        <v>181</v>
      </c>
      <c r="B182" s="2">
        <v>77098</v>
      </c>
      <c r="C182" t="s">
        <v>60</v>
      </c>
      <c r="D182" t="s">
        <v>66</v>
      </c>
      <c r="E182" t="s">
        <v>97</v>
      </c>
      <c r="F182" t="s">
        <v>62</v>
      </c>
      <c r="G182" t="s">
        <v>70</v>
      </c>
      <c r="H182" t="s">
        <v>23</v>
      </c>
      <c r="I182" t="s">
        <v>24</v>
      </c>
      <c r="J182" t="s">
        <v>39</v>
      </c>
      <c r="K182" s="6">
        <f t="shared" si="5"/>
        <v>0.6</v>
      </c>
      <c r="L182" t="s">
        <v>26</v>
      </c>
      <c r="M182">
        <f t="shared" si="4"/>
        <v>1</v>
      </c>
      <c r="N182" t="s">
        <v>40</v>
      </c>
      <c r="O182" t="s">
        <v>103</v>
      </c>
      <c r="P182" s="2">
        <v>565</v>
      </c>
      <c r="Q182" t="s">
        <v>74</v>
      </c>
      <c r="R182" t="s">
        <v>68</v>
      </c>
      <c r="S182" t="s">
        <v>31</v>
      </c>
      <c r="T182" t="s">
        <v>59</v>
      </c>
    </row>
    <row r="183" spans="1:20" x14ac:dyDescent="0.25">
      <c r="A183" s="2">
        <v>182</v>
      </c>
      <c r="B183" s="2">
        <v>37588</v>
      </c>
      <c r="C183" t="s">
        <v>33</v>
      </c>
      <c r="D183" t="s">
        <v>66</v>
      </c>
      <c r="E183" t="s">
        <v>101</v>
      </c>
      <c r="F183" t="s">
        <v>80</v>
      </c>
      <c r="G183" t="s">
        <v>45</v>
      </c>
      <c r="H183" t="s">
        <v>71</v>
      </c>
      <c r="I183" t="s">
        <v>24</v>
      </c>
      <c r="J183" t="s">
        <v>25</v>
      </c>
      <c r="K183" s="6">
        <f t="shared" si="5"/>
        <v>2.4</v>
      </c>
      <c r="L183" t="s">
        <v>64</v>
      </c>
      <c r="M183">
        <f t="shared" si="4"/>
        <v>7</v>
      </c>
      <c r="N183" t="s">
        <v>40</v>
      </c>
      <c r="O183" t="s">
        <v>103</v>
      </c>
      <c r="P183" s="2">
        <v>298</v>
      </c>
      <c r="Q183" t="s">
        <v>29</v>
      </c>
      <c r="R183" t="s">
        <v>30</v>
      </c>
      <c r="S183" t="s">
        <v>50</v>
      </c>
      <c r="T183" t="s">
        <v>32</v>
      </c>
    </row>
    <row r="184" spans="1:20" x14ac:dyDescent="0.25">
      <c r="A184" s="2">
        <v>183</v>
      </c>
      <c r="B184" s="2">
        <v>30494</v>
      </c>
      <c r="C184" t="s">
        <v>33</v>
      </c>
      <c r="D184" t="s">
        <v>66</v>
      </c>
      <c r="E184" t="s">
        <v>97</v>
      </c>
      <c r="F184" t="s">
        <v>62</v>
      </c>
      <c r="G184" t="s">
        <v>78</v>
      </c>
      <c r="H184" t="s">
        <v>37</v>
      </c>
      <c r="I184" t="s">
        <v>47</v>
      </c>
      <c r="J184" t="s">
        <v>48</v>
      </c>
      <c r="K184" s="6">
        <f t="shared" si="5"/>
        <v>2.5</v>
      </c>
      <c r="L184" t="s">
        <v>26</v>
      </c>
      <c r="M184">
        <f t="shared" si="4"/>
        <v>1</v>
      </c>
      <c r="N184" t="s">
        <v>104</v>
      </c>
      <c r="O184" t="s">
        <v>82</v>
      </c>
      <c r="P184" s="2">
        <v>1452</v>
      </c>
      <c r="Q184" t="s">
        <v>74</v>
      </c>
      <c r="R184" t="s">
        <v>75</v>
      </c>
      <c r="S184" t="s">
        <v>31</v>
      </c>
      <c r="T184" t="s">
        <v>59</v>
      </c>
    </row>
    <row r="185" spans="1:20" x14ac:dyDescent="0.25">
      <c r="A185" s="2">
        <v>184</v>
      </c>
      <c r="B185" s="2">
        <v>75361</v>
      </c>
      <c r="C185" t="s">
        <v>60</v>
      </c>
      <c r="D185" t="s">
        <v>66</v>
      </c>
      <c r="E185" t="s">
        <v>87</v>
      </c>
      <c r="F185" t="s">
        <v>88</v>
      </c>
      <c r="G185" t="s">
        <v>81</v>
      </c>
      <c r="H185" t="s">
        <v>46</v>
      </c>
      <c r="I185" t="s">
        <v>67</v>
      </c>
      <c r="J185" t="s">
        <v>57</v>
      </c>
      <c r="K185" s="6">
        <f t="shared" si="5"/>
        <v>2.2000000000000002</v>
      </c>
      <c r="L185" t="s">
        <v>64</v>
      </c>
      <c r="M185">
        <f t="shared" si="4"/>
        <v>7</v>
      </c>
      <c r="N185" t="s">
        <v>40</v>
      </c>
      <c r="O185" t="s">
        <v>82</v>
      </c>
      <c r="P185" s="2">
        <v>433</v>
      </c>
      <c r="Q185" t="s">
        <v>41</v>
      </c>
      <c r="R185" t="s">
        <v>30</v>
      </c>
      <c r="S185" t="s">
        <v>50</v>
      </c>
      <c r="T185" t="s">
        <v>59</v>
      </c>
    </row>
    <row r="186" spans="1:20" x14ac:dyDescent="0.25">
      <c r="A186" s="2">
        <v>185</v>
      </c>
      <c r="B186" s="2">
        <v>44945</v>
      </c>
      <c r="C186" t="s">
        <v>33</v>
      </c>
      <c r="D186" t="s">
        <v>66</v>
      </c>
      <c r="E186" t="s">
        <v>61</v>
      </c>
      <c r="F186" t="s">
        <v>62</v>
      </c>
      <c r="G186" t="s">
        <v>78</v>
      </c>
      <c r="H186" t="s">
        <v>46</v>
      </c>
      <c r="I186" t="s">
        <v>56</v>
      </c>
      <c r="J186" t="s">
        <v>57</v>
      </c>
      <c r="K186" s="6">
        <f t="shared" si="5"/>
        <v>2.2000000000000002</v>
      </c>
      <c r="L186" t="s">
        <v>26</v>
      </c>
      <c r="M186">
        <f t="shared" si="4"/>
        <v>1</v>
      </c>
      <c r="N186" t="s">
        <v>40</v>
      </c>
      <c r="O186" t="s">
        <v>28</v>
      </c>
      <c r="P186" s="2">
        <v>391</v>
      </c>
      <c r="Q186" t="s">
        <v>104</v>
      </c>
      <c r="R186" t="s">
        <v>75</v>
      </c>
      <c r="S186" t="s">
        <v>50</v>
      </c>
      <c r="T186" t="s">
        <v>59</v>
      </c>
    </row>
    <row r="187" spans="1:20" x14ac:dyDescent="0.25">
      <c r="A187" s="2">
        <v>186</v>
      </c>
      <c r="B187" s="2">
        <v>61530</v>
      </c>
      <c r="C187" t="s">
        <v>51</v>
      </c>
      <c r="D187" t="s">
        <v>66</v>
      </c>
      <c r="E187" t="s">
        <v>34</v>
      </c>
      <c r="F187" t="s">
        <v>35</v>
      </c>
      <c r="G187" t="s">
        <v>92</v>
      </c>
      <c r="H187" t="s">
        <v>73</v>
      </c>
      <c r="I187" t="s">
        <v>47</v>
      </c>
      <c r="J187" t="s">
        <v>57</v>
      </c>
      <c r="K187" s="6">
        <f t="shared" si="5"/>
        <v>0.625</v>
      </c>
      <c r="L187" t="s">
        <v>64</v>
      </c>
      <c r="M187">
        <f t="shared" si="4"/>
        <v>7</v>
      </c>
      <c r="N187" t="s">
        <v>40</v>
      </c>
      <c r="O187" t="s">
        <v>72</v>
      </c>
      <c r="P187" s="2">
        <v>1117</v>
      </c>
      <c r="Q187" t="s">
        <v>74</v>
      </c>
      <c r="R187" t="s">
        <v>68</v>
      </c>
      <c r="S187" t="s">
        <v>69</v>
      </c>
      <c r="T187" t="s">
        <v>43</v>
      </c>
    </row>
    <row r="188" spans="1:20" x14ac:dyDescent="0.25">
      <c r="A188" s="2">
        <v>187</v>
      </c>
      <c r="B188" s="2">
        <v>98420</v>
      </c>
      <c r="C188" t="s">
        <v>19</v>
      </c>
      <c r="D188" t="s">
        <v>66</v>
      </c>
      <c r="E188" t="s">
        <v>44</v>
      </c>
      <c r="F188" t="s">
        <v>44</v>
      </c>
      <c r="G188" t="s">
        <v>81</v>
      </c>
      <c r="H188" t="s">
        <v>71</v>
      </c>
      <c r="I188" t="s">
        <v>67</v>
      </c>
      <c r="J188" t="s">
        <v>57</v>
      </c>
      <c r="K188" s="6">
        <f t="shared" si="5"/>
        <v>2.2000000000000002</v>
      </c>
      <c r="L188" t="s">
        <v>26</v>
      </c>
      <c r="M188">
        <f t="shared" si="4"/>
        <v>1</v>
      </c>
      <c r="N188" t="s">
        <v>27</v>
      </c>
      <c r="O188" t="s">
        <v>103</v>
      </c>
      <c r="P188" s="2">
        <v>374</v>
      </c>
      <c r="Q188" t="s">
        <v>29</v>
      </c>
      <c r="R188" t="s">
        <v>30</v>
      </c>
      <c r="S188" t="s">
        <v>69</v>
      </c>
      <c r="T188" t="s">
        <v>43</v>
      </c>
    </row>
    <row r="189" spans="1:20" x14ac:dyDescent="0.25">
      <c r="A189" s="2">
        <v>188</v>
      </c>
      <c r="B189" s="2">
        <v>91179</v>
      </c>
      <c r="C189" t="s">
        <v>60</v>
      </c>
      <c r="D189" t="s">
        <v>52</v>
      </c>
      <c r="E189" t="s">
        <v>97</v>
      </c>
      <c r="F189" t="s">
        <v>62</v>
      </c>
      <c r="G189" t="s">
        <v>55</v>
      </c>
      <c r="H189" t="s">
        <v>46</v>
      </c>
      <c r="I189" t="s">
        <v>83</v>
      </c>
      <c r="J189" t="s">
        <v>57</v>
      </c>
      <c r="K189" s="6">
        <f t="shared" si="5"/>
        <v>1.1000000000000001</v>
      </c>
      <c r="L189" t="s">
        <v>64</v>
      </c>
      <c r="M189">
        <f t="shared" si="4"/>
        <v>7</v>
      </c>
      <c r="N189" t="s">
        <v>40</v>
      </c>
      <c r="O189" t="s">
        <v>28</v>
      </c>
      <c r="P189" s="2">
        <v>350</v>
      </c>
      <c r="Q189" t="s">
        <v>74</v>
      </c>
      <c r="R189" t="s">
        <v>42</v>
      </c>
      <c r="S189" t="s">
        <v>69</v>
      </c>
      <c r="T189" t="s">
        <v>59</v>
      </c>
    </row>
    <row r="190" spans="1:20" x14ac:dyDescent="0.25">
      <c r="A190" s="2">
        <v>189</v>
      </c>
      <c r="B190" s="2">
        <v>10051</v>
      </c>
      <c r="C190" t="s">
        <v>19</v>
      </c>
      <c r="D190" t="s">
        <v>52</v>
      </c>
      <c r="E190" t="s">
        <v>84</v>
      </c>
      <c r="F190" t="s">
        <v>85</v>
      </c>
      <c r="G190" t="s">
        <v>78</v>
      </c>
      <c r="H190" t="s">
        <v>71</v>
      </c>
      <c r="I190" t="s">
        <v>24</v>
      </c>
      <c r="J190" t="s">
        <v>39</v>
      </c>
      <c r="K190" s="6">
        <f t="shared" si="5"/>
        <v>1.2</v>
      </c>
      <c r="L190" t="s">
        <v>64</v>
      </c>
      <c r="M190">
        <f t="shared" si="4"/>
        <v>7</v>
      </c>
      <c r="N190" t="s">
        <v>27</v>
      </c>
      <c r="O190" t="s">
        <v>82</v>
      </c>
      <c r="P190" s="2">
        <v>348</v>
      </c>
      <c r="Q190" t="s">
        <v>74</v>
      </c>
      <c r="R190" t="s">
        <v>42</v>
      </c>
      <c r="S190" t="s">
        <v>69</v>
      </c>
      <c r="T190" t="s">
        <v>32</v>
      </c>
    </row>
    <row r="191" spans="1:20" x14ac:dyDescent="0.25">
      <c r="A191" s="2">
        <v>190</v>
      </c>
      <c r="B191" s="2">
        <v>89134</v>
      </c>
      <c r="C191" t="s">
        <v>60</v>
      </c>
      <c r="D191" t="s">
        <v>52</v>
      </c>
      <c r="E191" t="s">
        <v>53</v>
      </c>
      <c r="F191" t="s">
        <v>54</v>
      </c>
      <c r="G191" t="s">
        <v>63</v>
      </c>
      <c r="H191" t="s">
        <v>46</v>
      </c>
      <c r="I191" t="s">
        <v>94</v>
      </c>
      <c r="J191" t="s">
        <v>57</v>
      </c>
      <c r="K191" s="6">
        <f t="shared" si="5"/>
        <v>0.75</v>
      </c>
      <c r="L191" t="s">
        <v>64</v>
      </c>
      <c r="M191">
        <f t="shared" si="4"/>
        <v>7</v>
      </c>
      <c r="N191" t="s">
        <v>27</v>
      </c>
      <c r="O191" t="s">
        <v>103</v>
      </c>
      <c r="P191" s="2">
        <v>312</v>
      </c>
      <c r="Q191" t="s">
        <v>74</v>
      </c>
      <c r="R191" t="s">
        <v>42</v>
      </c>
      <c r="S191" t="s">
        <v>69</v>
      </c>
      <c r="T191" t="s">
        <v>59</v>
      </c>
    </row>
    <row r="192" spans="1:20" x14ac:dyDescent="0.25">
      <c r="A192" s="2">
        <v>191</v>
      </c>
      <c r="B192" s="2">
        <v>65739</v>
      </c>
      <c r="C192" t="s">
        <v>19</v>
      </c>
      <c r="D192" t="s">
        <v>66</v>
      </c>
      <c r="E192" t="s">
        <v>34</v>
      </c>
      <c r="F192" t="s">
        <v>35</v>
      </c>
      <c r="G192" t="s">
        <v>63</v>
      </c>
      <c r="H192" t="s">
        <v>23</v>
      </c>
      <c r="I192" t="s">
        <v>91</v>
      </c>
      <c r="J192" t="s">
        <v>86</v>
      </c>
      <c r="K192" s="6">
        <f t="shared" si="5"/>
        <v>2.2000000000000002</v>
      </c>
      <c r="L192" t="s">
        <v>64</v>
      </c>
      <c r="M192">
        <f t="shared" si="4"/>
        <v>7</v>
      </c>
      <c r="N192" t="s">
        <v>104</v>
      </c>
      <c r="O192" t="s">
        <v>103</v>
      </c>
      <c r="P192" s="2">
        <v>500</v>
      </c>
      <c r="Q192" t="s">
        <v>41</v>
      </c>
      <c r="R192" t="s">
        <v>75</v>
      </c>
      <c r="S192" t="s">
        <v>58</v>
      </c>
      <c r="T192" t="s">
        <v>43</v>
      </c>
    </row>
    <row r="193" spans="1:20" x14ac:dyDescent="0.25">
      <c r="A193" s="2">
        <v>192</v>
      </c>
      <c r="B193" s="2">
        <v>60029</v>
      </c>
      <c r="C193" t="s">
        <v>33</v>
      </c>
      <c r="D193" t="s">
        <v>66</v>
      </c>
      <c r="E193" t="s">
        <v>20</v>
      </c>
      <c r="F193" t="s">
        <v>21</v>
      </c>
      <c r="G193" t="s">
        <v>92</v>
      </c>
      <c r="H193" t="s">
        <v>37</v>
      </c>
      <c r="I193" t="s">
        <v>24</v>
      </c>
      <c r="J193" t="s">
        <v>25</v>
      </c>
      <c r="K193" s="6">
        <f t="shared" si="5"/>
        <v>2.4</v>
      </c>
      <c r="L193" t="s">
        <v>26</v>
      </c>
      <c r="M193">
        <f t="shared" si="4"/>
        <v>1</v>
      </c>
      <c r="N193" t="s">
        <v>27</v>
      </c>
      <c r="O193" t="s">
        <v>103</v>
      </c>
      <c r="P193" s="2">
        <v>2476</v>
      </c>
      <c r="Q193" t="s">
        <v>104</v>
      </c>
      <c r="R193" t="s">
        <v>30</v>
      </c>
      <c r="S193" t="s">
        <v>69</v>
      </c>
      <c r="T193" t="s">
        <v>32</v>
      </c>
    </row>
    <row r="194" spans="1:20" x14ac:dyDescent="0.25">
      <c r="A194" s="2">
        <v>193</v>
      </c>
      <c r="B194" s="2">
        <v>60797</v>
      </c>
      <c r="C194" t="s">
        <v>51</v>
      </c>
      <c r="D194" t="s">
        <v>52</v>
      </c>
      <c r="E194" t="s">
        <v>76</v>
      </c>
      <c r="F194" t="s">
        <v>77</v>
      </c>
      <c r="G194" t="s">
        <v>36</v>
      </c>
      <c r="H194" t="s">
        <v>23</v>
      </c>
      <c r="I194" t="s">
        <v>47</v>
      </c>
      <c r="J194" t="s">
        <v>25</v>
      </c>
      <c r="K194" s="6">
        <f t="shared" si="5"/>
        <v>1.25</v>
      </c>
      <c r="L194" t="s">
        <v>64</v>
      </c>
      <c r="M194">
        <f t="shared" ref="M194:M257" si="6">IF(L194="daily",7,IF(L194="weekly",3,1))</f>
        <v>7</v>
      </c>
      <c r="N194" t="s">
        <v>27</v>
      </c>
      <c r="O194" t="s">
        <v>103</v>
      </c>
      <c r="P194" s="2">
        <v>408</v>
      </c>
      <c r="Q194" t="s">
        <v>29</v>
      </c>
      <c r="R194" t="s">
        <v>42</v>
      </c>
      <c r="S194" t="s">
        <v>50</v>
      </c>
      <c r="T194" t="s">
        <v>43</v>
      </c>
    </row>
    <row r="195" spans="1:20" x14ac:dyDescent="0.25">
      <c r="A195" s="2">
        <v>194</v>
      </c>
      <c r="B195" s="2">
        <v>88989</v>
      </c>
      <c r="C195" t="s">
        <v>51</v>
      </c>
      <c r="D195" t="s">
        <v>66</v>
      </c>
      <c r="E195" t="s">
        <v>95</v>
      </c>
      <c r="F195" t="s">
        <v>21</v>
      </c>
      <c r="G195" t="s">
        <v>55</v>
      </c>
      <c r="H195" t="s">
        <v>23</v>
      </c>
      <c r="I195" t="s">
        <v>24</v>
      </c>
      <c r="J195" t="s">
        <v>25</v>
      </c>
      <c r="K195" s="6">
        <f t="shared" ref="K195:K258" si="7">IF(R195="Morning",2,IF(R195="Night",2,IF(R195="Evening",1,0.5)))
*
IF(I195="Espresso",0.75,IF(I195="Cold Brew",1.25,IF(I195="Filter Coffee",1.2,IF(I195="Instant Coffee",1,1.1))))</f>
        <v>2.4</v>
      </c>
      <c r="L195" t="s">
        <v>49</v>
      </c>
      <c r="M195">
        <f t="shared" si="6"/>
        <v>3</v>
      </c>
      <c r="N195" t="s">
        <v>27</v>
      </c>
      <c r="O195" t="s">
        <v>102</v>
      </c>
      <c r="P195" s="2">
        <v>818</v>
      </c>
      <c r="Q195" t="s">
        <v>41</v>
      </c>
      <c r="R195" t="s">
        <v>30</v>
      </c>
      <c r="S195" t="s">
        <v>50</v>
      </c>
      <c r="T195" t="s">
        <v>43</v>
      </c>
    </row>
    <row r="196" spans="1:20" x14ac:dyDescent="0.25">
      <c r="A196" s="2">
        <v>195</v>
      </c>
      <c r="B196" s="2">
        <v>94266</v>
      </c>
      <c r="C196" t="s">
        <v>33</v>
      </c>
      <c r="D196" t="s">
        <v>66</v>
      </c>
      <c r="E196" t="s">
        <v>95</v>
      </c>
      <c r="F196" t="s">
        <v>21</v>
      </c>
      <c r="G196" t="s">
        <v>36</v>
      </c>
      <c r="H196" t="s">
        <v>23</v>
      </c>
      <c r="I196" t="s">
        <v>47</v>
      </c>
      <c r="J196" t="s">
        <v>48</v>
      </c>
      <c r="K196" s="6">
        <f t="shared" si="7"/>
        <v>1.25</v>
      </c>
      <c r="L196" t="s">
        <v>64</v>
      </c>
      <c r="M196">
        <f t="shared" si="6"/>
        <v>7</v>
      </c>
      <c r="N196" t="s">
        <v>27</v>
      </c>
      <c r="O196" t="s">
        <v>65</v>
      </c>
      <c r="P196" s="2">
        <v>521</v>
      </c>
      <c r="Q196" t="s">
        <v>29</v>
      </c>
      <c r="R196" t="s">
        <v>42</v>
      </c>
      <c r="S196" t="s">
        <v>58</v>
      </c>
      <c r="T196" t="s">
        <v>43</v>
      </c>
    </row>
    <row r="197" spans="1:20" x14ac:dyDescent="0.25">
      <c r="A197" s="2">
        <v>196</v>
      </c>
      <c r="B197" s="2">
        <v>99245</v>
      </c>
      <c r="C197" t="s">
        <v>96</v>
      </c>
      <c r="D197" t="s">
        <v>66</v>
      </c>
      <c r="E197" t="s">
        <v>95</v>
      </c>
      <c r="F197" t="s">
        <v>21</v>
      </c>
      <c r="G197" t="s">
        <v>81</v>
      </c>
      <c r="H197" t="s">
        <v>23</v>
      </c>
      <c r="I197" t="s">
        <v>24</v>
      </c>
      <c r="J197" t="s">
        <v>25</v>
      </c>
      <c r="K197" s="6">
        <f t="shared" si="7"/>
        <v>2.4</v>
      </c>
      <c r="L197" t="s">
        <v>26</v>
      </c>
      <c r="M197">
        <f t="shared" si="6"/>
        <v>1</v>
      </c>
      <c r="N197" t="s">
        <v>104</v>
      </c>
      <c r="O197" t="s">
        <v>65</v>
      </c>
      <c r="P197" s="2">
        <v>809</v>
      </c>
      <c r="Q197" t="s">
        <v>104</v>
      </c>
      <c r="R197" t="s">
        <v>30</v>
      </c>
      <c r="S197" t="s">
        <v>31</v>
      </c>
      <c r="T197" t="s">
        <v>43</v>
      </c>
    </row>
    <row r="198" spans="1:20" x14ac:dyDescent="0.25">
      <c r="A198" s="2">
        <v>197</v>
      </c>
      <c r="B198" s="2">
        <v>84703</v>
      </c>
      <c r="C198" t="s">
        <v>33</v>
      </c>
      <c r="D198" t="s">
        <v>66</v>
      </c>
      <c r="E198" t="s">
        <v>61</v>
      </c>
      <c r="F198" t="s">
        <v>62</v>
      </c>
      <c r="G198" t="s">
        <v>78</v>
      </c>
      <c r="H198" t="s">
        <v>23</v>
      </c>
      <c r="I198" t="s">
        <v>83</v>
      </c>
      <c r="J198" t="s">
        <v>25</v>
      </c>
      <c r="K198" s="6">
        <f t="shared" si="7"/>
        <v>2.2000000000000002</v>
      </c>
      <c r="L198" t="s">
        <v>26</v>
      </c>
      <c r="M198">
        <f t="shared" si="6"/>
        <v>1</v>
      </c>
      <c r="N198" t="s">
        <v>104</v>
      </c>
      <c r="O198" t="s">
        <v>82</v>
      </c>
      <c r="P198" s="2">
        <v>680</v>
      </c>
      <c r="Q198" t="s">
        <v>74</v>
      </c>
      <c r="R198" t="s">
        <v>75</v>
      </c>
      <c r="S198" t="s">
        <v>31</v>
      </c>
      <c r="T198" t="s">
        <v>59</v>
      </c>
    </row>
    <row r="199" spans="1:20" x14ac:dyDescent="0.25">
      <c r="A199" s="2">
        <v>198</v>
      </c>
      <c r="B199" s="2">
        <v>18283</v>
      </c>
      <c r="C199" t="s">
        <v>60</v>
      </c>
      <c r="D199" t="s">
        <v>52</v>
      </c>
      <c r="E199" t="s">
        <v>97</v>
      </c>
      <c r="F199" t="s">
        <v>62</v>
      </c>
      <c r="G199" t="s">
        <v>70</v>
      </c>
      <c r="H199" t="s">
        <v>46</v>
      </c>
      <c r="I199" t="s">
        <v>67</v>
      </c>
      <c r="J199" t="s">
        <v>57</v>
      </c>
      <c r="K199" s="6">
        <f t="shared" si="7"/>
        <v>0.55000000000000004</v>
      </c>
      <c r="L199" t="s">
        <v>64</v>
      </c>
      <c r="M199">
        <f t="shared" si="6"/>
        <v>7</v>
      </c>
      <c r="N199" t="s">
        <v>40</v>
      </c>
      <c r="O199" t="s">
        <v>65</v>
      </c>
      <c r="P199" s="2">
        <v>600</v>
      </c>
      <c r="Q199" t="s">
        <v>29</v>
      </c>
      <c r="R199" t="s">
        <v>68</v>
      </c>
      <c r="S199" t="s">
        <v>31</v>
      </c>
      <c r="T199" t="s">
        <v>59</v>
      </c>
    </row>
    <row r="200" spans="1:20" x14ac:dyDescent="0.25">
      <c r="A200" s="2">
        <v>199</v>
      </c>
      <c r="B200" s="2">
        <v>49156</v>
      </c>
      <c r="C200" t="s">
        <v>51</v>
      </c>
      <c r="D200" t="s">
        <v>52</v>
      </c>
      <c r="E200" t="s">
        <v>44</v>
      </c>
      <c r="F200" t="s">
        <v>44</v>
      </c>
      <c r="G200" t="s">
        <v>92</v>
      </c>
      <c r="H200" t="s">
        <v>23</v>
      </c>
      <c r="I200" t="s">
        <v>24</v>
      </c>
      <c r="J200" t="s">
        <v>57</v>
      </c>
      <c r="K200" s="6">
        <f t="shared" si="7"/>
        <v>2.4</v>
      </c>
      <c r="L200" t="s">
        <v>26</v>
      </c>
      <c r="M200">
        <f t="shared" si="6"/>
        <v>1</v>
      </c>
      <c r="N200" t="s">
        <v>27</v>
      </c>
      <c r="O200" t="s">
        <v>28</v>
      </c>
      <c r="P200" s="2">
        <v>560</v>
      </c>
      <c r="Q200" t="s">
        <v>29</v>
      </c>
      <c r="R200" t="s">
        <v>30</v>
      </c>
      <c r="S200" t="s">
        <v>31</v>
      </c>
      <c r="T200" t="s">
        <v>43</v>
      </c>
    </row>
    <row r="201" spans="1:20" x14ac:dyDescent="0.25">
      <c r="A201" s="2">
        <v>200</v>
      </c>
      <c r="B201" s="2">
        <v>19957</v>
      </c>
      <c r="C201" t="s">
        <v>51</v>
      </c>
      <c r="D201" t="s">
        <v>66</v>
      </c>
      <c r="E201" t="s">
        <v>61</v>
      </c>
      <c r="F201" t="s">
        <v>62</v>
      </c>
      <c r="G201" t="s">
        <v>78</v>
      </c>
      <c r="H201" t="s">
        <v>73</v>
      </c>
      <c r="I201" t="s">
        <v>83</v>
      </c>
      <c r="J201" t="s">
        <v>57</v>
      </c>
      <c r="K201" s="6">
        <f t="shared" si="7"/>
        <v>2.2000000000000002</v>
      </c>
      <c r="L201" t="s">
        <v>64</v>
      </c>
      <c r="M201">
        <f t="shared" si="6"/>
        <v>7</v>
      </c>
      <c r="N201" t="s">
        <v>27</v>
      </c>
      <c r="O201" t="s">
        <v>28</v>
      </c>
      <c r="P201" s="2">
        <v>1387</v>
      </c>
      <c r="Q201" t="s">
        <v>41</v>
      </c>
      <c r="R201" t="s">
        <v>75</v>
      </c>
      <c r="S201" t="s">
        <v>58</v>
      </c>
      <c r="T201" t="s">
        <v>59</v>
      </c>
    </row>
    <row r="202" spans="1:20" x14ac:dyDescent="0.25">
      <c r="A202" s="2">
        <v>201</v>
      </c>
      <c r="B202" s="2">
        <v>24340</v>
      </c>
      <c r="C202" t="s">
        <v>33</v>
      </c>
      <c r="D202" t="s">
        <v>52</v>
      </c>
      <c r="E202" t="s">
        <v>76</v>
      </c>
      <c r="F202" t="s">
        <v>77</v>
      </c>
      <c r="G202" t="s">
        <v>81</v>
      </c>
      <c r="H202" t="s">
        <v>46</v>
      </c>
      <c r="I202" t="s">
        <v>47</v>
      </c>
      <c r="J202" t="s">
        <v>48</v>
      </c>
      <c r="K202" s="6">
        <f t="shared" si="7"/>
        <v>0.625</v>
      </c>
      <c r="L202" t="s">
        <v>49</v>
      </c>
      <c r="M202">
        <f t="shared" si="6"/>
        <v>3</v>
      </c>
      <c r="N202" t="s">
        <v>40</v>
      </c>
      <c r="O202" t="s">
        <v>28</v>
      </c>
      <c r="P202" s="2">
        <v>458</v>
      </c>
      <c r="Q202" t="s">
        <v>29</v>
      </c>
      <c r="R202" t="s">
        <v>68</v>
      </c>
      <c r="S202" t="s">
        <v>58</v>
      </c>
      <c r="T202" t="s">
        <v>43</v>
      </c>
    </row>
    <row r="203" spans="1:20" x14ac:dyDescent="0.25">
      <c r="A203" s="2">
        <v>202</v>
      </c>
      <c r="B203" s="2">
        <v>90010</v>
      </c>
      <c r="C203" t="s">
        <v>33</v>
      </c>
      <c r="D203" t="s">
        <v>66</v>
      </c>
      <c r="E203" t="s">
        <v>61</v>
      </c>
      <c r="F203" t="s">
        <v>62</v>
      </c>
      <c r="G203" t="s">
        <v>81</v>
      </c>
      <c r="H203" t="s">
        <v>73</v>
      </c>
      <c r="I203" t="s">
        <v>47</v>
      </c>
      <c r="J203" t="s">
        <v>48</v>
      </c>
      <c r="K203" s="6">
        <f t="shared" si="7"/>
        <v>0.625</v>
      </c>
      <c r="L203" t="s">
        <v>49</v>
      </c>
      <c r="M203">
        <f t="shared" si="6"/>
        <v>3</v>
      </c>
      <c r="N203" t="s">
        <v>40</v>
      </c>
      <c r="O203" t="s">
        <v>72</v>
      </c>
      <c r="P203" s="2">
        <v>1327</v>
      </c>
      <c r="Q203" t="s">
        <v>41</v>
      </c>
      <c r="R203" t="s">
        <v>68</v>
      </c>
      <c r="S203" t="s">
        <v>31</v>
      </c>
      <c r="T203" t="s">
        <v>59</v>
      </c>
    </row>
    <row r="204" spans="1:20" x14ac:dyDescent="0.25">
      <c r="A204" s="2">
        <v>203</v>
      </c>
      <c r="B204" s="2">
        <v>40723</v>
      </c>
      <c r="C204" t="s">
        <v>51</v>
      </c>
      <c r="D204" t="s">
        <v>52</v>
      </c>
      <c r="E204" t="s">
        <v>76</v>
      </c>
      <c r="F204" t="s">
        <v>77</v>
      </c>
      <c r="G204" t="s">
        <v>55</v>
      </c>
      <c r="H204" t="s">
        <v>46</v>
      </c>
      <c r="I204" t="s">
        <v>94</v>
      </c>
      <c r="J204" t="s">
        <v>57</v>
      </c>
      <c r="K204" s="6">
        <f t="shared" si="7"/>
        <v>0.75</v>
      </c>
      <c r="L204" t="s">
        <v>26</v>
      </c>
      <c r="M204">
        <f t="shared" si="6"/>
        <v>1</v>
      </c>
      <c r="N204" t="s">
        <v>27</v>
      </c>
      <c r="O204" t="s">
        <v>65</v>
      </c>
      <c r="P204" s="2">
        <v>511</v>
      </c>
      <c r="Q204" t="s">
        <v>74</v>
      </c>
      <c r="R204" t="s">
        <v>42</v>
      </c>
      <c r="S204" t="s">
        <v>69</v>
      </c>
      <c r="T204" t="s">
        <v>43</v>
      </c>
    </row>
    <row r="205" spans="1:20" x14ac:dyDescent="0.25">
      <c r="A205" s="2">
        <v>204</v>
      </c>
      <c r="B205" s="2">
        <v>12427</v>
      </c>
      <c r="C205" t="s">
        <v>33</v>
      </c>
      <c r="D205" t="s">
        <v>52</v>
      </c>
      <c r="E205" t="s">
        <v>89</v>
      </c>
      <c r="F205" t="s">
        <v>90</v>
      </c>
      <c r="G205" t="s">
        <v>81</v>
      </c>
      <c r="H205" t="s">
        <v>37</v>
      </c>
      <c r="I205" t="s">
        <v>47</v>
      </c>
      <c r="J205" t="s">
        <v>48</v>
      </c>
      <c r="K205" s="6">
        <f t="shared" si="7"/>
        <v>2.5</v>
      </c>
      <c r="L205" t="s">
        <v>64</v>
      </c>
      <c r="M205">
        <f t="shared" si="6"/>
        <v>7</v>
      </c>
      <c r="N205" t="s">
        <v>40</v>
      </c>
      <c r="O205" t="s">
        <v>72</v>
      </c>
      <c r="P205" s="2">
        <v>1681</v>
      </c>
      <c r="Q205" t="s">
        <v>74</v>
      </c>
      <c r="R205" t="s">
        <v>30</v>
      </c>
      <c r="S205" t="s">
        <v>50</v>
      </c>
      <c r="T205" t="s">
        <v>59</v>
      </c>
    </row>
    <row r="206" spans="1:20" x14ac:dyDescent="0.25">
      <c r="A206" s="2">
        <v>205</v>
      </c>
      <c r="B206" s="2">
        <v>44780</v>
      </c>
      <c r="C206" t="s">
        <v>33</v>
      </c>
      <c r="D206" t="s">
        <v>52</v>
      </c>
      <c r="E206" t="s">
        <v>20</v>
      </c>
      <c r="F206" t="s">
        <v>21</v>
      </c>
      <c r="G206" t="s">
        <v>92</v>
      </c>
      <c r="H206" t="s">
        <v>73</v>
      </c>
      <c r="I206" t="s">
        <v>47</v>
      </c>
      <c r="J206" t="s">
        <v>57</v>
      </c>
      <c r="K206" s="6">
        <f t="shared" si="7"/>
        <v>2.5</v>
      </c>
      <c r="L206" t="s">
        <v>64</v>
      </c>
      <c r="M206">
        <f t="shared" si="6"/>
        <v>7</v>
      </c>
      <c r="N206" t="s">
        <v>27</v>
      </c>
      <c r="O206" t="s">
        <v>65</v>
      </c>
      <c r="P206" s="2">
        <v>1130</v>
      </c>
      <c r="Q206" t="s">
        <v>41</v>
      </c>
      <c r="R206" t="s">
        <v>75</v>
      </c>
      <c r="S206" t="s">
        <v>58</v>
      </c>
      <c r="T206" t="s">
        <v>32</v>
      </c>
    </row>
    <row r="207" spans="1:20" x14ac:dyDescent="0.25">
      <c r="A207" s="2">
        <v>206</v>
      </c>
      <c r="B207" s="2">
        <v>55966</v>
      </c>
      <c r="C207" t="s">
        <v>33</v>
      </c>
      <c r="D207" t="s">
        <v>52</v>
      </c>
      <c r="E207" t="s">
        <v>99</v>
      </c>
      <c r="F207" t="s">
        <v>100</v>
      </c>
      <c r="G207" t="s">
        <v>45</v>
      </c>
      <c r="H207" t="s">
        <v>71</v>
      </c>
      <c r="I207" t="s">
        <v>94</v>
      </c>
      <c r="J207" t="s">
        <v>57</v>
      </c>
      <c r="K207" s="6">
        <f t="shared" si="7"/>
        <v>0.375</v>
      </c>
      <c r="L207" t="s">
        <v>49</v>
      </c>
      <c r="M207">
        <f t="shared" si="6"/>
        <v>3</v>
      </c>
      <c r="N207" t="s">
        <v>40</v>
      </c>
      <c r="O207" t="s">
        <v>103</v>
      </c>
      <c r="P207" s="2">
        <v>354</v>
      </c>
      <c r="Q207" t="s">
        <v>41</v>
      </c>
      <c r="R207" t="s">
        <v>68</v>
      </c>
      <c r="S207" t="s">
        <v>31</v>
      </c>
      <c r="T207" t="s">
        <v>32</v>
      </c>
    </row>
    <row r="208" spans="1:20" x14ac:dyDescent="0.25">
      <c r="A208" s="2">
        <v>207</v>
      </c>
      <c r="B208" s="2">
        <v>69726</v>
      </c>
      <c r="C208" t="s">
        <v>60</v>
      </c>
      <c r="D208" t="s">
        <v>66</v>
      </c>
      <c r="E208" t="s">
        <v>61</v>
      </c>
      <c r="F208" t="s">
        <v>62</v>
      </c>
      <c r="G208" t="s">
        <v>63</v>
      </c>
      <c r="H208" t="s">
        <v>37</v>
      </c>
      <c r="I208" t="s">
        <v>56</v>
      </c>
      <c r="J208" t="s">
        <v>57</v>
      </c>
      <c r="K208" s="6">
        <f t="shared" si="7"/>
        <v>1.1000000000000001</v>
      </c>
      <c r="L208" t="s">
        <v>64</v>
      </c>
      <c r="M208">
        <f t="shared" si="6"/>
        <v>7</v>
      </c>
      <c r="N208" t="s">
        <v>104</v>
      </c>
      <c r="O208" t="s">
        <v>28</v>
      </c>
      <c r="P208" s="2">
        <v>2452</v>
      </c>
      <c r="Q208" t="s">
        <v>74</v>
      </c>
      <c r="R208" t="s">
        <v>42</v>
      </c>
      <c r="S208" t="s">
        <v>31</v>
      </c>
      <c r="T208" t="s">
        <v>59</v>
      </c>
    </row>
    <row r="209" spans="1:20" x14ac:dyDescent="0.25">
      <c r="A209" s="2">
        <v>208</v>
      </c>
      <c r="B209" s="2">
        <v>70645</v>
      </c>
      <c r="C209" t="s">
        <v>19</v>
      </c>
      <c r="D209" t="s">
        <v>52</v>
      </c>
      <c r="E209" t="s">
        <v>53</v>
      </c>
      <c r="F209" t="s">
        <v>54</v>
      </c>
      <c r="G209" t="s">
        <v>98</v>
      </c>
      <c r="H209" t="s">
        <v>71</v>
      </c>
      <c r="I209" t="s">
        <v>67</v>
      </c>
      <c r="J209" t="s">
        <v>86</v>
      </c>
      <c r="K209" s="6">
        <f t="shared" si="7"/>
        <v>2.2000000000000002</v>
      </c>
      <c r="L209" t="s">
        <v>64</v>
      </c>
      <c r="M209">
        <f t="shared" si="6"/>
        <v>7</v>
      </c>
      <c r="N209" t="s">
        <v>104</v>
      </c>
      <c r="O209" t="s">
        <v>102</v>
      </c>
      <c r="P209" s="2">
        <v>328</v>
      </c>
      <c r="Q209" t="s">
        <v>29</v>
      </c>
      <c r="R209" t="s">
        <v>75</v>
      </c>
      <c r="S209" t="s">
        <v>69</v>
      </c>
      <c r="T209" t="s">
        <v>59</v>
      </c>
    </row>
    <row r="210" spans="1:20" x14ac:dyDescent="0.25">
      <c r="A210" s="2">
        <v>209</v>
      </c>
      <c r="B210" s="2">
        <v>31335</v>
      </c>
      <c r="C210" t="s">
        <v>51</v>
      </c>
      <c r="D210" t="s">
        <v>52</v>
      </c>
      <c r="E210" t="s">
        <v>99</v>
      </c>
      <c r="F210" t="s">
        <v>100</v>
      </c>
      <c r="G210" t="s">
        <v>45</v>
      </c>
      <c r="H210" t="s">
        <v>71</v>
      </c>
      <c r="I210" t="s">
        <v>83</v>
      </c>
      <c r="J210" t="s">
        <v>57</v>
      </c>
      <c r="K210" s="6">
        <f t="shared" si="7"/>
        <v>0.55000000000000004</v>
      </c>
      <c r="L210" t="s">
        <v>64</v>
      </c>
      <c r="M210">
        <f t="shared" si="6"/>
        <v>7</v>
      </c>
      <c r="N210" t="s">
        <v>104</v>
      </c>
      <c r="O210" t="s">
        <v>103</v>
      </c>
      <c r="P210" s="2">
        <v>246</v>
      </c>
      <c r="Q210" t="s">
        <v>104</v>
      </c>
      <c r="R210" t="s">
        <v>68</v>
      </c>
      <c r="S210" t="s">
        <v>69</v>
      </c>
      <c r="T210" t="s">
        <v>32</v>
      </c>
    </row>
    <row r="211" spans="1:20" x14ac:dyDescent="0.25">
      <c r="A211" s="2">
        <v>210</v>
      </c>
      <c r="B211" s="2">
        <v>24617</v>
      </c>
      <c r="C211" t="s">
        <v>51</v>
      </c>
      <c r="D211" t="s">
        <v>52</v>
      </c>
      <c r="E211" t="s">
        <v>95</v>
      </c>
      <c r="F211" t="s">
        <v>21</v>
      </c>
      <c r="G211" t="s">
        <v>70</v>
      </c>
      <c r="H211" t="s">
        <v>73</v>
      </c>
      <c r="I211" t="s">
        <v>91</v>
      </c>
      <c r="J211" t="s">
        <v>25</v>
      </c>
      <c r="K211" s="6">
        <f t="shared" si="7"/>
        <v>0.55000000000000004</v>
      </c>
      <c r="L211" t="s">
        <v>49</v>
      </c>
      <c r="M211">
        <f t="shared" si="6"/>
        <v>3</v>
      </c>
      <c r="N211" t="s">
        <v>40</v>
      </c>
      <c r="O211" t="s">
        <v>102</v>
      </c>
      <c r="P211" s="2">
        <v>1074</v>
      </c>
      <c r="Q211" t="s">
        <v>29</v>
      </c>
      <c r="R211" t="s">
        <v>68</v>
      </c>
      <c r="S211" t="s">
        <v>31</v>
      </c>
      <c r="T211" t="s">
        <v>43</v>
      </c>
    </row>
    <row r="212" spans="1:20" x14ac:dyDescent="0.25">
      <c r="A212" s="2">
        <v>211</v>
      </c>
      <c r="B212" s="2">
        <v>38552</v>
      </c>
      <c r="C212" t="s">
        <v>51</v>
      </c>
      <c r="D212" t="s">
        <v>52</v>
      </c>
      <c r="E212" t="s">
        <v>87</v>
      </c>
      <c r="F212" t="s">
        <v>88</v>
      </c>
      <c r="G212" t="s">
        <v>63</v>
      </c>
      <c r="H212" t="s">
        <v>37</v>
      </c>
      <c r="I212" t="s">
        <v>24</v>
      </c>
      <c r="J212" t="s">
        <v>25</v>
      </c>
      <c r="K212" s="6">
        <f t="shared" si="7"/>
        <v>2.4</v>
      </c>
      <c r="L212" t="s">
        <v>64</v>
      </c>
      <c r="M212">
        <f t="shared" si="6"/>
        <v>7</v>
      </c>
      <c r="N212" t="s">
        <v>104</v>
      </c>
      <c r="O212" t="s">
        <v>72</v>
      </c>
      <c r="P212" s="2">
        <v>2121</v>
      </c>
      <c r="Q212" t="s">
        <v>74</v>
      </c>
      <c r="R212" t="s">
        <v>75</v>
      </c>
      <c r="S212" t="s">
        <v>50</v>
      </c>
      <c r="T212" t="s">
        <v>59</v>
      </c>
    </row>
    <row r="213" spans="1:20" x14ac:dyDescent="0.25">
      <c r="A213" s="2">
        <v>212</v>
      </c>
      <c r="B213" s="2">
        <v>82132</v>
      </c>
      <c r="C213" t="s">
        <v>51</v>
      </c>
      <c r="D213" t="s">
        <v>52</v>
      </c>
      <c r="E213" t="s">
        <v>93</v>
      </c>
      <c r="F213" t="s">
        <v>62</v>
      </c>
      <c r="G213" t="s">
        <v>92</v>
      </c>
      <c r="H213" t="s">
        <v>23</v>
      </c>
      <c r="I213" t="s">
        <v>67</v>
      </c>
      <c r="J213" t="s">
        <v>57</v>
      </c>
      <c r="K213" s="6">
        <f t="shared" si="7"/>
        <v>2.2000000000000002</v>
      </c>
      <c r="L213" t="s">
        <v>26</v>
      </c>
      <c r="M213">
        <f t="shared" si="6"/>
        <v>1</v>
      </c>
      <c r="N213" t="s">
        <v>27</v>
      </c>
      <c r="O213" t="s">
        <v>28</v>
      </c>
      <c r="P213" s="2">
        <v>672</v>
      </c>
      <c r="Q213" t="s">
        <v>41</v>
      </c>
      <c r="R213" t="s">
        <v>30</v>
      </c>
      <c r="S213" t="s">
        <v>31</v>
      </c>
      <c r="T213" t="s">
        <v>43</v>
      </c>
    </row>
    <row r="214" spans="1:20" x14ac:dyDescent="0.25">
      <c r="A214" s="2">
        <v>213</v>
      </c>
      <c r="B214" s="2">
        <v>40603</v>
      </c>
      <c r="C214" t="s">
        <v>96</v>
      </c>
      <c r="D214" t="s">
        <v>52</v>
      </c>
      <c r="E214" t="s">
        <v>44</v>
      </c>
      <c r="F214" t="s">
        <v>44</v>
      </c>
      <c r="G214" t="s">
        <v>78</v>
      </c>
      <c r="H214" t="s">
        <v>46</v>
      </c>
      <c r="I214" t="s">
        <v>38</v>
      </c>
      <c r="J214" t="s">
        <v>57</v>
      </c>
      <c r="K214" s="6">
        <f t="shared" si="7"/>
        <v>2</v>
      </c>
      <c r="L214" t="s">
        <v>64</v>
      </c>
      <c r="M214">
        <f t="shared" si="6"/>
        <v>7</v>
      </c>
      <c r="N214" t="s">
        <v>27</v>
      </c>
      <c r="O214" t="s">
        <v>103</v>
      </c>
      <c r="P214" s="2">
        <v>339</v>
      </c>
      <c r="Q214" t="s">
        <v>41</v>
      </c>
      <c r="R214" t="s">
        <v>30</v>
      </c>
      <c r="S214" t="s">
        <v>50</v>
      </c>
      <c r="T214" t="s">
        <v>43</v>
      </c>
    </row>
    <row r="215" spans="1:20" x14ac:dyDescent="0.25">
      <c r="A215" s="2">
        <v>214</v>
      </c>
      <c r="B215" s="2">
        <v>93368</v>
      </c>
      <c r="C215" t="s">
        <v>51</v>
      </c>
      <c r="D215" t="s">
        <v>52</v>
      </c>
      <c r="E215" t="s">
        <v>20</v>
      </c>
      <c r="F215" t="s">
        <v>21</v>
      </c>
      <c r="G215" t="s">
        <v>55</v>
      </c>
      <c r="H215" t="s">
        <v>73</v>
      </c>
      <c r="I215" t="s">
        <v>38</v>
      </c>
      <c r="J215" t="s">
        <v>57</v>
      </c>
      <c r="K215" s="6">
        <f t="shared" si="7"/>
        <v>2</v>
      </c>
      <c r="L215" t="s">
        <v>64</v>
      </c>
      <c r="M215">
        <f t="shared" si="6"/>
        <v>7</v>
      </c>
      <c r="N215" t="s">
        <v>40</v>
      </c>
      <c r="O215" t="s">
        <v>102</v>
      </c>
      <c r="P215" s="2">
        <v>816</v>
      </c>
      <c r="Q215" t="s">
        <v>41</v>
      </c>
      <c r="R215" t="s">
        <v>30</v>
      </c>
      <c r="S215" t="s">
        <v>31</v>
      </c>
      <c r="T215" t="s">
        <v>32</v>
      </c>
    </row>
    <row r="216" spans="1:20" x14ac:dyDescent="0.25">
      <c r="A216" s="2">
        <v>215</v>
      </c>
      <c r="B216" s="2">
        <v>44831</v>
      </c>
      <c r="C216" t="s">
        <v>51</v>
      </c>
      <c r="D216" t="s">
        <v>66</v>
      </c>
      <c r="E216" t="s">
        <v>93</v>
      </c>
      <c r="F216" t="s">
        <v>62</v>
      </c>
      <c r="G216" t="s">
        <v>98</v>
      </c>
      <c r="H216" t="s">
        <v>71</v>
      </c>
      <c r="I216" t="s">
        <v>94</v>
      </c>
      <c r="J216" t="s">
        <v>57</v>
      </c>
      <c r="K216" s="6">
        <f t="shared" si="7"/>
        <v>1.5</v>
      </c>
      <c r="L216" t="s">
        <v>64</v>
      </c>
      <c r="M216">
        <f t="shared" si="6"/>
        <v>7</v>
      </c>
      <c r="N216" t="s">
        <v>27</v>
      </c>
      <c r="O216" t="s">
        <v>72</v>
      </c>
      <c r="P216" s="2">
        <v>319</v>
      </c>
      <c r="Q216" t="s">
        <v>41</v>
      </c>
      <c r="R216" t="s">
        <v>75</v>
      </c>
      <c r="S216" t="s">
        <v>50</v>
      </c>
      <c r="T216" t="s">
        <v>43</v>
      </c>
    </row>
    <row r="217" spans="1:20" x14ac:dyDescent="0.25">
      <c r="A217" s="2">
        <v>216</v>
      </c>
      <c r="B217" s="2">
        <v>63575</v>
      </c>
      <c r="C217" t="s">
        <v>33</v>
      </c>
      <c r="D217" t="s">
        <v>52</v>
      </c>
      <c r="E217" t="s">
        <v>79</v>
      </c>
      <c r="F217" t="s">
        <v>80</v>
      </c>
      <c r="G217" t="s">
        <v>22</v>
      </c>
      <c r="H217" t="s">
        <v>23</v>
      </c>
      <c r="I217" t="s">
        <v>47</v>
      </c>
      <c r="J217" t="s">
        <v>48</v>
      </c>
      <c r="K217" s="6">
        <f t="shared" si="7"/>
        <v>2.5</v>
      </c>
      <c r="L217" t="s">
        <v>26</v>
      </c>
      <c r="M217">
        <f t="shared" si="6"/>
        <v>1</v>
      </c>
      <c r="N217" t="s">
        <v>27</v>
      </c>
      <c r="O217" t="s">
        <v>65</v>
      </c>
      <c r="P217" s="2">
        <v>878</v>
      </c>
      <c r="Q217" t="s">
        <v>74</v>
      </c>
      <c r="R217" t="s">
        <v>75</v>
      </c>
      <c r="S217" t="s">
        <v>31</v>
      </c>
      <c r="T217" t="s">
        <v>43</v>
      </c>
    </row>
    <row r="218" spans="1:20" x14ac:dyDescent="0.25">
      <c r="A218" s="2">
        <v>217</v>
      </c>
      <c r="B218" s="2">
        <v>81283</v>
      </c>
      <c r="C218" t="s">
        <v>19</v>
      </c>
      <c r="D218" t="s">
        <v>66</v>
      </c>
      <c r="E218" t="s">
        <v>20</v>
      </c>
      <c r="F218" t="s">
        <v>21</v>
      </c>
      <c r="G218" t="s">
        <v>63</v>
      </c>
      <c r="H218" t="s">
        <v>23</v>
      </c>
      <c r="I218" t="s">
        <v>56</v>
      </c>
      <c r="J218" t="s">
        <v>48</v>
      </c>
      <c r="K218" s="6">
        <f t="shared" si="7"/>
        <v>2.2000000000000002</v>
      </c>
      <c r="L218" t="s">
        <v>64</v>
      </c>
      <c r="M218">
        <f t="shared" si="6"/>
        <v>7</v>
      </c>
      <c r="N218" t="s">
        <v>40</v>
      </c>
      <c r="O218" t="s">
        <v>82</v>
      </c>
      <c r="P218" s="2">
        <v>689</v>
      </c>
      <c r="Q218" t="s">
        <v>41</v>
      </c>
      <c r="R218" t="s">
        <v>75</v>
      </c>
      <c r="S218" t="s">
        <v>31</v>
      </c>
      <c r="T218" t="s">
        <v>32</v>
      </c>
    </row>
    <row r="219" spans="1:20" x14ac:dyDescent="0.25">
      <c r="A219" s="2">
        <v>218</v>
      </c>
      <c r="B219" s="2">
        <v>96633</v>
      </c>
      <c r="C219" t="s">
        <v>33</v>
      </c>
      <c r="D219" t="s">
        <v>52</v>
      </c>
      <c r="E219" t="s">
        <v>87</v>
      </c>
      <c r="F219" t="s">
        <v>88</v>
      </c>
      <c r="G219" t="s">
        <v>78</v>
      </c>
      <c r="H219" t="s">
        <v>23</v>
      </c>
      <c r="I219" t="s">
        <v>47</v>
      </c>
      <c r="J219" t="s">
        <v>48</v>
      </c>
      <c r="K219" s="6">
        <f t="shared" si="7"/>
        <v>1.25</v>
      </c>
      <c r="L219" t="s">
        <v>64</v>
      </c>
      <c r="M219">
        <f t="shared" si="6"/>
        <v>7</v>
      </c>
      <c r="N219" t="s">
        <v>27</v>
      </c>
      <c r="O219" t="s">
        <v>82</v>
      </c>
      <c r="P219" s="2">
        <v>875</v>
      </c>
      <c r="Q219" t="s">
        <v>41</v>
      </c>
      <c r="R219" t="s">
        <v>42</v>
      </c>
      <c r="S219" t="s">
        <v>50</v>
      </c>
      <c r="T219" t="s">
        <v>59</v>
      </c>
    </row>
    <row r="220" spans="1:20" x14ac:dyDescent="0.25">
      <c r="A220" s="2">
        <v>219</v>
      </c>
      <c r="B220" s="2">
        <v>48517</v>
      </c>
      <c r="C220" t="s">
        <v>19</v>
      </c>
      <c r="D220" t="s">
        <v>52</v>
      </c>
      <c r="E220" t="s">
        <v>97</v>
      </c>
      <c r="F220" t="s">
        <v>62</v>
      </c>
      <c r="G220" t="s">
        <v>63</v>
      </c>
      <c r="H220" t="s">
        <v>71</v>
      </c>
      <c r="I220" t="s">
        <v>24</v>
      </c>
      <c r="J220" t="s">
        <v>57</v>
      </c>
      <c r="K220" s="6">
        <f t="shared" si="7"/>
        <v>1.2</v>
      </c>
      <c r="L220" t="s">
        <v>49</v>
      </c>
      <c r="M220">
        <f t="shared" si="6"/>
        <v>3</v>
      </c>
      <c r="N220" t="s">
        <v>27</v>
      </c>
      <c r="O220" t="s">
        <v>65</v>
      </c>
      <c r="P220" s="2">
        <v>152</v>
      </c>
      <c r="Q220" t="s">
        <v>104</v>
      </c>
      <c r="R220" t="s">
        <v>42</v>
      </c>
      <c r="S220" t="s">
        <v>31</v>
      </c>
      <c r="T220" t="s">
        <v>59</v>
      </c>
    </row>
    <row r="221" spans="1:20" x14ac:dyDescent="0.25">
      <c r="A221" s="2">
        <v>220</v>
      </c>
      <c r="B221" s="2">
        <v>96883</v>
      </c>
      <c r="C221" t="s">
        <v>96</v>
      </c>
      <c r="D221" t="s">
        <v>52</v>
      </c>
      <c r="E221" t="s">
        <v>44</v>
      </c>
      <c r="F221" t="s">
        <v>44</v>
      </c>
      <c r="G221" t="s">
        <v>63</v>
      </c>
      <c r="H221" t="s">
        <v>23</v>
      </c>
      <c r="I221" t="s">
        <v>83</v>
      </c>
      <c r="J221" t="s">
        <v>57</v>
      </c>
      <c r="K221" s="6">
        <f t="shared" si="7"/>
        <v>2.2000000000000002</v>
      </c>
      <c r="L221" t="s">
        <v>64</v>
      </c>
      <c r="M221">
        <f t="shared" si="6"/>
        <v>7</v>
      </c>
      <c r="N221" t="s">
        <v>104</v>
      </c>
      <c r="O221" t="s">
        <v>28</v>
      </c>
      <c r="P221" s="2">
        <v>850</v>
      </c>
      <c r="Q221" t="s">
        <v>41</v>
      </c>
      <c r="R221" t="s">
        <v>30</v>
      </c>
      <c r="S221" t="s">
        <v>50</v>
      </c>
      <c r="T221" t="s">
        <v>43</v>
      </c>
    </row>
    <row r="222" spans="1:20" x14ac:dyDescent="0.25">
      <c r="A222" s="2">
        <v>221</v>
      </c>
      <c r="B222" s="2">
        <v>24612</v>
      </c>
      <c r="C222" t="s">
        <v>19</v>
      </c>
      <c r="D222" t="s">
        <v>52</v>
      </c>
      <c r="E222" t="s">
        <v>89</v>
      </c>
      <c r="F222" t="s">
        <v>90</v>
      </c>
      <c r="G222" t="s">
        <v>78</v>
      </c>
      <c r="H222" t="s">
        <v>71</v>
      </c>
      <c r="I222" t="s">
        <v>38</v>
      </c>
      <c r="J222" t="s">
        <v>25</v>
      </c>
      <c r="K222" s="6">
        <f t="shared" si="7"/>
        <v>2</v>
      </c>
      <c r="L222" t="s">
        <v>26</v>
      </c>
      <c r="M222">
        <f t="shared" si="6"/>
        <v>1</v>
      </c>
      <c r="N222" t="s">
        <v>27</v>
      </c>
      <c r="O222" t="s">
        <v>82</v>
      </c>
      <c r="P222" s="2">
        <v>329</v>
      </c>
      <c r="Q222" t="s">
        <v>29</v>
      </c>
      <c r="R222" t="s">
        <v>75</v>
      </c>
      <c r="S222" t="s">
        <v>58</v>
      </c>
      <c r="T222" t="s">
        <v>59</v>
      </c>
    </row>
    <row r="223" spans="1:20" x14ac:dyDescent="0.25">
      <c r="A223" s="2">
        <v>222</v>
      </c>
      <c r="B223" s="2">
        <v>65003</v>
      </c>
      <c r="C223" t="s">
        <v>96</v>
      </c>
      <c r="D223" t="s">
        <v>52</v>
      </c>
      <c r="E223" t="s">
        <v>79</v>
      </c>
      <c r="F223" t="s">
        <v>80</v>
      </c>
      <c r="G223" t="s">
        <v>55</v>
      </c>
      <c r="H223" t="s">
        <v>46</v>
      </c>
      <c r="I223" t="s">
        <v>67</v>
      </c>
      <c r="J223" t="s">
        <v>57</v>
      </c>
      <c r="K223" s="6">
        <f t="shared" si="7"/>
        <v>1.1000000000000001</v>
      </c>
      <c r="L223" t="s">
        <v>64</v>
      </c>
      <c r="M223">
        <f t="shared" si="6"/>
        <v>7</v>
      </c>
      <c r="N223" t="s">
        <v>40</v>
      </c>
      <c r="O223" t="s">
        <v>28</v>
      </c>
      <c r="P223" s="2">
        <v>264</v>
      </c>
      <c r="Q223" t="s">
        <v>41</v>
      </c>
      <c r="R223" t="s">
        <v>42</v>
      </c>
      <c r="S223" t="s">
        <v>50</v>
      </c>
      <c r="T223" t="s">
        <v>43</v>
      </c>
    </row>
    <row r="224" spans="1:20" x14ac:dyDescent="0.25">
      <c r="A224" s="2">
        <v>223</v>
      </c>
      <c r="B224" s="2">
        <v>81069</v>
      </c>
      <c r="C224" t="s">
        <v>51</v>
      </c>
      <c r="D224" t="s">
        <v>52</v>
      </c>
      <c r="E224" t="s">
        <v>84</v>
      </c>
      <c r="F224" t="s">
        <v>85</v>
      </c>
      <c r="G224" t="s">
        <v>36</v>
      </c>
      <c r="H224" t="s">
        <v>73</v>
      </c>
      <c r="I224" t="s">
        <v>47</v>
      </c>
      <c r="J224" t="s">
        <v>57</v>
      </c>
      <c r="K224" s="6">
        <f t="shared" si="7"/>
        <v>0.625</v>
      </c>
      <c r="L224" t="s">
        <v>49</v>
      </c>
      <c r="M224">
        <f t="shared" si="6"/>
        <v>3</v>
      </c>
      <c r="N224" t="s">
        <v>40</v>
      </c>
      <c r="O224" t="s">
        <v>65</v>
      </c>
      <c r="P224" s="2">
        <v>1322</v>
      </c>
      <c r="Q224" t="s">
        <v>41</v>
      </c>
      <c r="R224" t="s">
        <v>68</v>
      </c>
      <c r="S224" t="s">
        <v>50</v>
      </c>
      <c r="T224" t="s">
        <v>32</v>
      </c>
    </row>
    <row r="225" spans="1:20" x14ac:dyDescent="0.25">
      <c r="A225" s="2">
        <v>224</v>
      </c>
      <c r="B225" s="2">
        <v>77917</v>
      </c>
      <c r="C225" t="s">
        <v>60</v>
      </c>
      <c r="D225" t="s">
        <v>66</v>
      </c>
      <c r="E225" t="s">
        <v>95</v>
      </c>
      <c r="F225" t="s">
        <v>21</v>
      </c>
      <c r="G225" t="s">
        <v>63</v>
      </c>
      <c r="H225" t="s">
        <v>71</v>
      </c>
      <c r="I225" t="s">
        <v>91</v>
      </c>
      <c r="J225" t="s">
        <v>57</v>
      </c>
      <c r="K225" s="6">
        <f t="shared" si="7"/>
        <v>2.2000000000000002</v>
      </c>
      <c r="L225" t="s">
        <v>64</v>
      </c>
      <c r="M225">
        <f t="shared" si="6"/>
        <v>7</v>
      </c>
      <c r="N225" t="s">
        <v>27</v>
      </c>
      <c r="O225" t="s">
        <v>28</v>
      </c>
      <c r="P225" s="2">
        <v>220</v>
      </c>
      <c r="Q225" t="s">
        <v>74</v>
      </c>
      <c r="R225" t="s">
        <v>30</v>
      </c>
      <c r="S225" t="s">
        <v>31</v>
      </c>
      <c r="T225" t="s">
        <v>43</v>
      </c>
    </row>
    <row r="226" spans="1:20" x14ac:dyDescent="0.25">
      <c r="A226" s="2">
        <v>225</v>
      </c>
      <c r="B226" s="2">
        <v>99809</v>
      </c>
      <c r="C226" t="s">
        <v>51</v>
      </c>
      <c r="D226" t="s">
        <v>66</v>
      </c>
      <c r="E226" t="s">
        <v>97</v>
      </c>
      <c r="F226" t="s">
        <v>62</v>
      </c>
      <c r="G226" t="s">
        <v>98</v>
      </c>
      <c r="H226" t="s">
        <v>71</v>
      </c>
      <c r="I226" t="s">
        <v>67</v>
      </c>
      <c r="J226" t="s">
        <v>57</v>
      </c>
      <c r="K226" s="6">
        <f t="shared" si="7"/>
        <v>0.55000000000000004</v>
      </c>
      <c r="L226" t="s">
        <v>49</v>
      </c>
      <c r="M226">
        <f t="shared" si="6"/>
        <v>3</v>
      </c>
      <c r="N226" t="s">
        <v>27</v>
      </c>
      <c r="O226" t="s">
        <v>82</v>
      </c>
      <c r="P226" s="2">
        <v>152</v>
      </c>
      <c r="Q226" t="s">
        <v>74</v>
      </c>
      <c r="R226" t="s">
        <v>68</v>
      </c>
      <c r="S226" t="s">
        <v>50</v>
      </c>
      <c r="T226" t="s">
        <v>59</v>
      </c>
    </row>
    <row r="227" spans="1:20" x14ac:dyDescent="0.25">
      <c r="A227" s="2">
        <v>226</v>
      </c>
      <c r="B227" s="2">
        <v>58305</v>
      </c>
      <c r="C227" t="s">
        <v>51</v>
      </c>
      <c r="D227" t="s">
        <v>52</v>
      </c>
      <c r="E227" t="s">
        <v>95</v>
      </c>
      <c r="F227" t="s">
        <v>21</v>
      </c>
      <c r="G227" t="s">
        <v>36</v>
      </c>
      <c r="H227" t="s">
        <v>46</v>
      </c>
      <c r="I227" t="s">
        <v>83</v>
      </c>
      <c r="J227" t="s">
        <v>57</v>
      </c>
      <c r="K227" s="6">
        <f t="shared" si="7"/>
        <v>0.55000000000000004</v>
      </c>
      <c r="L227" t="s">
        <v>64</v>
      </c>
      <c r="M227">
        <f t="shared" si="6"/>
        <v>7</v>
      </c>
      <c r="N227" t="s">
        <v>27</v>
      </c>
      <c r="O227" t="s">
        <v>28</v>
      </c>
      <c r="P227" s="2">
        <v>470</v>
      </c>
      <c r="Q227" t="s">
        <v>104</v>
      </c>
      <c r="R227" t="s">
        <v>68</v>
      </c>
      <c r="S227" t="s">
        <v>58</v>
      </c>
      <c r="T227" t="s">
        <v>43</v>
      </c>
    </row>
    <row r="228" spans="1:20" x14ac:dyDescent="0.25">
      <c r="A228" s="2">
        <v>227</v>
      </c>
      <c r="B228" s="2">
        <v>21916</v>
      </c>
      <c r="C228" t="s">
        <v>33</v>
      </c>
      <c r="D228" t="s">
        <v>52</v>
      </c>
      <c r="E228" t="s">
        <v>101</v>
      </c>
      <c r="F228" t="s">
        <v>80</v>
      </c>
      <c r="G228" t="s">
        <v>81</v>
      </c>
      <c r="H228" t="s">
        <v>73</v>
      </c>
      <c r="I228" t="s">
        <v>83</v>
      </c>
      <c r="J228" t="s">
        <v>57</v>
      </c>
      <c r="K228" s="6">
        <f t="shared" si="7"/>
        <v>2.2000000000000002</v>
      </c>
      <c r="L228" t="s">
        <v>26</v>
      </c>
      <c r="M228">
        <f t="shared" si="6"/>
        <v>1</v>
      </c>
      <c r="N228" t="s">
        <v>27</v>
      </c>
      <c r="O228" t="s">
        <v>103</v>
      </c>
      <c r="P228" s="2">
        <v>1007</v>
      </c>
      <c r="Q228" t="s">
        <v>29</v>
      </c>
      <c r="R228" t="s">
        <v>75</v>
      </c>
      <c r="S228" t="s">
        <v>50</v>
      </c>
      <c r="T228" t="s">
        <v>32</v>
      </c>
    </row>
    <row r="229" spans="1:20" x14ac:dyDescent="0.25">
      <c r="A229" s="2">
        <v>228</v>
      </c>
      <c r="B229" s="2">
        <v>13818</v>
      </c>
      <c r="C229" t="s">
        <v>19</v>
      </c>
      <c r="D229" t="s">
        <v>52</v>
      </c>
      <c r="E229" t="s">
        <v>93</v>
      </c>
      <c r="F229" t="s">
        <v>62</v>
      </c>
      <c r="G229" t="s">
        <v>81</v>
      </c>
      <c r="H229" t="s">
        <v>71</v>
      </c>
      <c r="I229" t="s">
        <v>94</v>
      </c>
      <c r="J229" t="s">
        <v>48</v>
      </c>
      <c r="K229" s="6">
        <f t="shared" si="7"/>
        <v>0.75</v>
      </c>
      <c r="L229" t="s">
        <v>49</v>
      </c>
      <c r="M229">
        <f t="shared" si="6"/>
        <v>3</v>
      </c>
      <c r="N229" t="s">
        <v>40</v>
      </c>
      <c r="O229" t="s">
        <v>28</v>
      </c>
      <c r="P229" s="2">
        <v>189</v>
      </c>
      <c r="Q229" t="s">
        <v>29</v>
      </c>
      <c r="R229" t="s">
        <v>42</v>
      </c>
      <c r="S229" t="s">
        <v>50</v>
      </c>
      <c r="T229" t="s">
        <v>43</v>
      </c>
    </row>
    <row r="230" spans="1:20" x14ac:dyDescent="0.25">
      <c r="A230" s="2">
        <v>229</v>
      </c>
      <c r="B230" s="2">
        <v>25608</v>
      </c>
      <c r="C230" t="s">
        <v>51</v>
      </c>
      <c r="D230" t="s">
        <v>66</v>
      </c>
      <c r="E230" t="s">
        <v>101</v>
      </c>
      <c r="F230" t="s">
        <v>80</v>
      </c>
      <c r="G230" t="s">
        <v>92</v>
      </c>
      <c r="H230" t="s">
        <v>71</v>
      </c>
      <c r="I230" t="s">
        <v>67</v>
      </c>
      <c r="J230" t="s">
        <v>57</v>
      </c>
      <c r="K230" s="6">
        <f t="shared" si="7"/>
        <v>0.55000000000000004</v>
      </c>
      <c r="L230" t="s">
        <v>26</v>
      </c>
      <c r="M230">
        <f t="shared" si="6"/>
        <v>1</v>
      </c>
      <c r="N230" t="s">
        <v>104</v>
      </c>
      <c r="O230" t="s">
        <v>82</v>
      </c>
      <c r="P230" s="2">
        <v>319</v>
      </c>
      <c r="Q230" t="s">
        <v>74</v>
      </c>
      <c r="R230" t="s">
        <v>68</v>
      </c>
      <c r="S230" t="s">
        <v>69</v>
      </c>
      <c r="T230" t="s">
        <v>32</v>
      </c>
    </row>
    <row r="231" spans="1:20" x14ac:dyDescent="0.25">
      <c r="A231" s="2">
        <v>230</v>
      </c>
      <c r="B231" s="2">
        <v>65735</v>
      </c>
      <c r="C231" t="s">
        <v>51</v>
      </c>
      <c r="D231" t="s">
        <v>52</v>
      </c>
      <c r="E231" t="s">
        <v>93</v>
      </c>
      <c r="F231" t="s">
        <v>62</v>
      </c>
      <c r="G231" t="s">
        <v>81</v>
      </c>
      <c r="H231" t="s">
        <v>46</v>
      </c>
      <c r="I231" t="s">
        <v>94</v>
      </c>
      <c r="J231" t="s">
        <v>57</v>
      </c>
      <c r="K231" s="6">
        <f t="shared" si="7"/>
        <v>0.75</v>
      </c>
      <c r="L231" t="s">
        <v>49</v>
      </c>
      <c r="M231">
        <f t="shared" si="6"/>
        <v>3</v>
      </c>
      <c r="N231" t="s">
        <v>27</v>
      </c>
      <c r="O231" t="s">
        <v>103</v>
      </c>
      <c r="P231" s="2">
        <v>567</v>
      </c>
      <c r="Q231" t="s">
        <v>29</v>
      </c>
      <c r="R231" t="s">
        <v>42</v>
      </c>
      <c r="S231" t="s">
        <v>50</v>
      </c>
      <c r="T231" t="s">
        <v>43</v>
      </c>
    </row>
    <row r="232" spans="1:20" x14ac:dyDescent="0.25">
      <c r="A232" s="2">
        <v>231</v>
      </c>
      <c r="B232" s="2">
        <v>69395</v>
      </c>
      <c r="C232" t="s">
        <v>60</v>
      </c>
      <c r="D232" t="s">
        <v>52</v>
      </c>
      <c r="E232" t="s">
        <v>89</v>
      </c>
      <c r="F232" t="s">
        <v>90</v>
      </c>
      <c r="G232" t="s">
        <v>98</v>
      </c>
      <c r="H232" t="s">
        <v>73</v>
      </c>
      <c r="I232" t="s">
        <v>47</v>
      </c>
      <c r="J232" t="s">
        <v>86</v>
      </c>
      <c r="K232" s="6">
        <f t="shared" si="7"/>
        <v>0.625</v>
      </c>
      <c r="L232" t="s">
        <v>64</v>
      </c>
      <c r="M232">
        <f t="shared" si="6"/>
        <v>7</v>
      </c>
      <c r="N232" t="s">
        <v>27</v>
      </c>
      <c r="O232" t="s">
        <v>103</v>
      </c>
      <c r="P232" s="2">
        <v>1240</v>
      </c>
      <c r="Q232" t="s">
        <v>104</v>
      </c>
      <c r="R232" t="s">
        <v>68</v>
      </c>
      <c r="S232" t="s">
        <v>50</v>
      </c>
      <c r="T232" t="s">
        <v>59</v>
      </c>
    </row>
    <row r="233" spans="1:20" x14ac:dyDescent="0.25">
      <c r="A233" s="2">
        <v>232</v>
      </c>
      <c r="B233" s="2">
        <v>11510</v>
      </c>
      <c r="C233" t="s">
        <v>51</v>
      </c>
      <c r="D233" t="s">
        <v>52</v>
      </c>
      <c r="E233" t="s">
        <v>97</v>
      </c>
      <c r="F233" t="s">
        <v>62</v>
      </c>
      <c r="G233" t="s">
        <v>98</v>
      </c>
      <c r="H233" t="s">
        <v>71</v>
      </c>
      <c r="I233" t="s">
        <v>67</v>
      </c>
      <c r="J233" t="s">
        <v>48</v>
      </c>
      <c r="K233" s="6">
        <f t="shared" si="7"/>
        <v>2.2000000000000002</v>
      </c>
      <c r="L233" t="s">
        <v>64</v>
      </c>
      <c r="M233">
        <f t="shared" si="6"/>
        <v>7</v>
      </c>
      <c r="N233" t="s">
        <v>27</v>
      </c>
      <c r="O233" t="s">
        <v>102</v>
      </c>
      <c r="P233" s="2">
        <v>217</v>
      </c>
      <c r="Q233" t="s">
        <v>41</v>
      </c>
      <c r="R233" t="s">
        <v>30</v>
      </c>
      <c r="S233" t="s">
        <v>31</v>
      </c>
      <c r="T233" t="s">
        <v>59</v>
      </c>
    </row>
    <row r="234" spans="1:20" x14ac:dyDescent="0.25">
      <c r="A234" s="2">
        <v>233</v>
      </c>
      <c r="B234" s="2">
        <v>30443</v>
      </c>
      <c r="C234" t="s">
        <v>33</v>
      </c>
      <c r="D234" t="s">
        <v>66</v>
      </c>
      <c r="E234" t="s">
        <v>53</v>
      </c>
      <c r="F234" t="s">
        <v>54</v>
      </c>
      <c r="G234" t="s">
        <v>78</v>
      </c>
      <c r="H234" t="s">
        <v>23</v>
      </c>
      <c r="I234" t="s">
        <v>47</v>
      </c>
      <c r="J234" t="s">
        <v>48</v>
      </c>
      <c r="K234" s="6">
        <f t="shared" si="7"/>
        <v>0.625</v>
      </c>
      <c r="L234" t="s">
        <v>64</v>
      </c>
      <c r="M234">
        <f t="shared" si="6"/>
        <v>7</v>
      </c>
      <c r="N234" t="s">
        <v>27</v>
      </c>
      <c r="O234" t="s">
        <v>102</v>
      </c>
      <c r="P234" s="2">
        <v>442</v>
      </c>
      <c r="Q234" t="s">
        <v>29</v>
      </c>
      <c r="R234" t="s">
        <v>68</v>
      </c>
      <c r="S234" t="s">
        <v>69</v>
      </c>
      <c r="T234" t="s">
        <v>59</v>
      </c>
    </row>
    <row r="235" spans="1:20" x14ac:dyDescent="0.25">
      <c r="A235" s="2">
        <v>234</v>
      </c>
      <c r="B235" s="2">
        <v>63240</v>
      </c>
      <c r="C235" t="s">
        <v>33</v>
      </c>
      <c r="D235" t="s">
        <v>52</v>
      </c>
      <c r="E235" t="s">
        <v>87</v>
      </c>
      <c r="F235" t="s">
        <v>88</v>
      </c>
      <c r="G235" t="s">
        <v>92</v>
      </c>
      <c r="H235" t="s">
        <v>23</v>
      </c>
      <c r="I235" t="s">
        <v>94</v>
      </c>
      <c r="J235" t="s">
        <v>57</v>
      </c>
      <c r="K235" s="6">
        <f t="shared" si="7"/>
        <v>0.375</v>
      </c>
      <c r="L235" t="s">
        <v>64</v>
      </c>
      <c r="M235">
        <f t="shared" si="6"/>
        <v>7</v>
      </c>
      <c r="N235" t="s">
        <v>27</v>
      </c>
      <c r="O235" t="s">
        <v>103</v>
      </c>
      <c r="P235" s="2">
        <v>791</v>
      </c>
      <c r="Q235" t="s">
        <v>74</v>
      </c>
      <c r="R235" t="s">
        <v>68</v>
      </c>
      <c r="S235" t="s">
        <v>58</v>
      </c>
      <c r="T235" t="s">
        <v>59</v>
      </c>
    </row>
    <row r="236" spans="1:20" x14ac:dyDescent="0.25">
      <c r="A236" s="2">
        <v>235</v>
      </c>
      <c r="B236" s="2">
        <v>57589</v>
      </c>
      <c r="C236" t="s">
        <v>51</v>
      </c>
      <c r="D236" t="s">
        <v>52</v>
      </c>
      <c r="E236" t="s">
        <v>87</v>
      </c>
      <c r="F236" t="s">
        <v>88</v>
      </c>
      <c r="G236" t="s">
        <v>22</v>
      </c>
      <c r="H236" t="s">
        <v>71</v>
      </c>
      <c r="I236" t="s">
        <v>24</v>
      </c>
      <c r="J236" t="s">
        <v>25</v>
      </c>
      <c r="K236" s="6">
        <f t="shared" si="7"/>
        <v>1.2</v>
      </c>
      <c r="L236" t="s">
        <v>49</v>
      </c>
      <c r="M236">
        <f t="shared" si="6"/>
        <v>3</v>
      </c>
      <c r="N236" t="s">
        <v>40</v>
      </c>
      <c r="O236" t="s">
        <v>65</v>
      </c>
      <c r="P236" s="2">
        <v>321</v>
      </c>
      <c r="Q236" t="s">
        <v>74</v>
      </c>
      <c r="R236" t="s">
        <v>42</v>
      </c>
      <c r="S236" t="s">
        <v>31</v>
      </c>
      <c r="T236" t="s">
        <v>59</v>
      </c>
    </row>
    <row r="237" spans="1:20" x14ac:dyDescent="0.25">
      <c r="A237" s="2">
        <v>236</v>
      </c>
      <c r="B237" s="2">
        <v>59007</v>
      </c>
      <c r="C237" t="s">
        <v>60</v>
      </c>
      <c r="D237" t="s">
        <v>66</v>
      </c>
      <c r="E237" t="s">
        <v>93</v>
      </c>
      <c r="F237" t="s">
        <v>62</v>
      </c>
      <c r="G237" t="s">
        <v>81</v>
      </c>
      <c r="H237" t="s">
        <v>37</v>
      </c>
      <c r="I237" t="s">
        <v>47</v>
      </c>
      <c r="J237" t="s">
        <v>57</v>
      </c>
      <c r="K237" s="6">
        <f t="shared" si="7"/>
        <v>1.25</v>
      </c>
      <c r="L237" t="s">
        <v>26</v>
      </c>
      <c r="M237">
        <f t="shared" si="6"/>
        <v>1</v>
      </c>
      <c r="N237" t="s">
        <v>27</v>
      </c>
      <c r="O237" t="s">
        <v>103</v>
      </c>
      <c r="P237" s="2">
        <v>2304</v>
      </c>
      <c r="Q237" t="s">
        <v>29</v>
      </c>
      <c r="R237" t="s">
        <v>42</v>
      </c>
      <c r="S237" t="s">
        <v>50</v>
      </c>
      <c r="T237" t="s">
        <v>43</v>
      </c>
    </row>
    <row r="238" spans="1:20" x14ac:dyDescent="0.25">
      <c r="A238" s="2">
        <v>237</v>
      </c>
      <c r="B238" s="2">
        <v>56923</v>
      </c>
      <c r="C238" t="s">
        <v>96</v>
      </c>
      <c r="D238" t="s">
        <v>66</v>
      </c>
      <c r="E238" t="s">
        <v>44</v>
      </c>
      <c r="F238" t="s">
        <v>44</v>
      </c>
      <c r="G238" t="s">
        <v>63</v>
      </c>
      <c r="H238" t="s">
        <v>23</v>
      </c>
      <c r="I238" t="s">
        <v>91</v>
      </c>
      <c r="J238" t="s">
        <v>57</v>
      </c>
      <c r="K238" s="6">
        <f t="shared" si="7"/>
        <v>2.2000000000000002</v>
      </c>
      <c r="L238" t="s">
        <v>64</v>
      </c>
      <c r="M238">
        <f t="shared" si="6"/>
        <v>7</v>
      </c>
      <c r="N238" t="s">
        <v>40</v>
      </c>
      <c r="O238" t="s">
        <v>103</v>
      </c>
      <c r="P238" s="2">
        <v>665</v>
      </c>
      <c r="Q238" t="s">
        <v>41</v>
      </c>
      <c r="R238" t="s">
        <v>30</v>
      </c>
      <c r="S238" t="s">
        <v>50</v>
      </c>
      <c r="T238" t="s">
        <v>43</v>
      </c>
    </row>
    <row r="239" spans="1:20" x14ac:dyDescent="0.25">
      <c r="A239" s="2">
        <v>238</v>
      </c>
      <c r="B239" s="2">
        <v>47682</v>
      </c>
      <c r="C239" t="s">
        <v>19</v>
      </c>
      <c r="D239" t="s">
        <v>66</v>
      </c>
      <c r="E239" t="s">
        <v>20</v>
      </c>
      <c r="F239" t="s">
        <v>21</v>
      </c>
      <c r="G239" t="s">
        <v>45</v>
      </c>
      <c r="H239" t="s">
        <v>23</v>
      </c>
      <c r="I239" t="s">
        <v>83</v>
      </c>
      <c r="J239" t="s">
        <v>57</v>
      </c>
      <c r="K239" s="6">
        <f t="shared" si="7"/>
        <v>2.2000000000000002</v>
      </c>
      <c r="L239" t="s">
        <v>64</v>
      </c>
      <c r="M239">
        <f t="shared" si="6"/>
        <v>7</v>
      </c>
      <c r="N239" t="s">
        <v>27</v>
      </c>
      <c r="O239" t="s">
        <v>65</v>
      </c>
      <c r="P239" s="2">
        <v>648</v>
      </c>
      <c r="Q239" t="s">
        <v>104</v>
      </c>
      <c r="R239" t="s">
        <v>30</v>
      </c>
      <c r="S239" t="s">
        <v>50</v>
      </c>
      <c r="T239" t="s">
        <v>32</v>
      </c>
    </row>
    <row r="240" spans="1:20" x14ac:dyDescent="0.25">
      <c r="A240" s="2">
        <v>239</v>
      </c>
      <c r="B240" s="2">
        <v>53293</v>
      </c>
      <c r="C240" t="s">
        <v>19</v>
      </c>
      <c r="D240" t="s">
        <v>66</v>
      </c>
      <c r="E240" t="s">
        <v>61</v>
      </c>
      <c r="F240" t="s">
        <v>62</v>
      </c>
      <c r="G240" t="s">
        <v>70</v>
      </c>
      <c r="H240" t="s">
        <v>46</v>
      </c>
      <c r="I240" t="s">
        <v>94</v>
      </c>
      <c r="J240" t="s">
        <v>39</v>
      </c>
      <c r="K240" s="6">
        <f t="shared" si="7"/>
        <v>0.75</v>
      </c>
      <c r="L240" t="s">
        <v>64</v>
      </c>
      <c r="M240">
        <f t="shared" si="6"/>
        <v>7</v>
      </c>
      <c r="N240" t="s">
        <v>104</v>
      </c>
      <c r="O240" t="s">
        <v>28</v>
      </c>
      <c r="P240" s="2">
        <v>516</v>
      </c>
      <c r="Q240" t="s">
        <v>41</v>
      </c>
      <c r="R240" t="s">
        <v>42</v>
      </c>
      <c r="S240" t="s">
        <v>58</v>
      </c>
      <c r="T240" t="s">
        <v>59</v>
      </c>
    </row>
    <row r="241" spans="1:20" x14ac:dyDescent="0.25">
      <c r="A241" s="2">
        <v>240</v>
      </c>
      <c r="B241" s="2">
        <v>86658</v>
      </c>
      <c r="C241" t="s">
        <v>60</v>
      </c>
      <c r="D241" t="s">
        <v>52</v>
      </c>
      <c r="E241" t="s">
        <v>61</v>
      </c>
      <c r="F241" t="s">
        <v>62</v>
      </c>
      <c r="G241" t="s">
        <v>70</v>
      </c>
      <c r="H241" t="s">
        <v>23</v>
      </c>
      <c r="I241" t="s">
        <v>67</v>
      </c>
      <c r="J241" t="s">
        <v>57</v>
      </c>
      <c r="K241" s="6">
        <f t="shared" si="7"/>
        <v>1.1000000000000001</v>
      </c>
      <c r="L241" t="s">
        <v>64</v>
      </c>
      <c r="M241">
        <f t="shared" si="6"/>
        <v>7</v>
      </c>
      <c r="N241" t="s">
        <v>40</v>
      </c>
      <c r="O241" t="s">
        <v>82</v>
      </c>
      <c r="P241" s="2">
        <v>465</v>
      </c>
      <c r="Q241" t="s">
        <v>74</v>
      </c>
      <c r="R241" t="s">
        <v>42</v>
      </c>
      <c r="S241" t="s">
        <v>31</v>
      </c>
      <c r="T241" t="s">
        <v>59</v>
      </c>
    </row>
    <row r="242" spans="1:20" x14ac:dyDescent="0.25">
      <c r="A242" s="2">
        <v>241</v>
      </c>
      <c r="B242" s="2">
        <v>96866</v>
      </c>
      <c r="C242" t="s">
        <v>51</v>
      </c>
      <c r="D242" t="s">
        <v>52</v>
      </c>
      <c r="E242" t="s">
        <v>84</v>
      </c>
      <c r="F242" t="s">
        <v>85</v>
      </c>
      <c r="G242" t="s">
        <v>45</v>
      </c>
      <c r="H242" t="s">
        <v>46</v>
      </c>
      <c r="I242" t="s">
        <v>67</v>
      </c>
      <c r="J242" t="s">
        <v>48</v>
      </c>
      <c r="K242" s="6">
        <f t="shared" si="7"/>
        <v>0.55000000000000004</v>
      </c>
      <c r="L242" t="s">
        <v>49</v>
      </c>
      <c r="M242">
        <f t="shared" si="6"/>
        <v>3</v>
      </c>
      <c r="N242" t="s">
        <v>27</v>
      </c>
      <c r="O242" t="s">
        <v>103</v>
      </c>
      <c r="P242" s="2">
        <v>266</v>
      </c>
      <c r="Q242" t="s">
        <v>104</v>
      </c>
      <c r="R242" t="s">
        <v>68</v>
      </c>
      <c r="S242" t="s">
        <v>69</v>
      </c>
      <c r="T242" t="s">
        <v>32</v>
      </c>
    </row>
    <row r="243" spans="1:20" x14ac:dyDescent="0.25">
      <c r="A243" s="2">
        <v>242</v>
      </c>
      <c r="B243" s="2">
        <v>37882</v>
      </c>
      <c r="C243" t="s">
        <v>19</v>
      </c>
      <c r="D243" t="s">
        <v>66</v>
      </c>
      <c r="E243" t="s">
        <v>79</v>
      </c>
      <c r="F243" t="s">
        <v>80</v>
      </c>
      <c r="G243" t="s">
        <v>81</v>
      </c>
      <c r="H243" t="s">
        <v>37</v>
      </c>
      <c r="I243" t="s">
        <v>24</v>
      </c>
      <c r="J243" t="s">
        <v>25</v>
      </c>
      <c r="K243" s="6">
        <f t="shared" si="7"/>
        <v>2.4</v>
      </c>
      <c r="L243" t="s">
        <v>64</v>
      </c>
      <c r="M243">
        <f t="shared" si="6"/>
        <v>7</v>
      </c>
      <c r="N243" t="s">
        <v>27</v>
      </c>
      <c r="O243" t="s">
        <v>28</v>
      </c>
      <c r="P243" s="2">
        <v>1238</v>
      </c>
      <c r="Q243" t="s">
        <v>74</v>
      </c>
      <c r="R243" t="s">
        <v>75</v>
      </c>
      <c r="S243" t="s">
        <v>50</v>
      </c>
      <c r="T243" t="s">
        <v>43</v>
      </c>
    </row>
    <row r="244" spans="1:20" x14ac:dyDescent="0.25">
      <c r="A244" s="2">
        <v>243</v>
      </c>
      <c r="B244" s="2">
        <v>56689</v>
      </c>
      <c r="C244" t="s">
        <v>19</v>
      </c>
      <c r="D244" t="s">
        <v>52</v>
      </c>
      <c r="E244" t="s">
        <v>87</v>
      </c>
      <c r="F244" t="s">
        <v>88</v>
      </c>
      <c r="G244" t="s">
        <v>92</v>
      </c>
      <c r="H244" t="s">
        <v>23</v>
      </c>
      <c r="I244" t="s">
        <v>38</v>
      </c>
      <c r="J244" t="s">
        <v>48</v>
      </c>
      <c r="K244" s="6">
        <f t="shared" si="7"/>
        <v>0.5</v>
      </c>
      <c r="L244" t="s">
        <v>49</v>
      </c>
      <c r="M244">
        <f t="shared" si="6"/>
        <v>3</v>
      </c>
      <c r="N244" t="s">
        <v>104</v>
      </c>
      <c r="O244" t="s">
        <v>103</v>
      </c>
      <c r="P244" s="2">
        <v>880</v>
      </c>
      <c r="Q244" t="s">
        <v>104</v>
      </c>
      <c r="R244" t="s">
        <v>68</v>
      </c>
      <c r="S244" t="s">
        <v>69</v>
      </c>
      <c r="T244" t="s">
        <v>59</v>
      </c>
    </row>
    <row r="245" spans="1:20" x14ac:dyDescent="0.25">
      <c r="A245" s="2">
        <v>244</v>
      </c>
      <c r="B245" s="2">
        <v>23939</v>
      </c>
      <c r="C245" t="s">
        <v>33</v>
      </c>
      <c r="D245" t="s">
        <v>52</v>
      </c>
      <c r="E245" t="s">
        <v>93</v>
      </c>
      <c r="F245" t="s">
        <v>62</v>
      </c>
      <c r="G245" t="s">
        <v>70</v>
      </c>
      <c r="H245" t="s">
        <v>23</v>
      </c>
      <c r="I245" t="s">
        <v>38</v>
      </c>
      <c r="J245" t="s">
        <v>25</v>
      </c>
      <c r="K245" s="6">
        <f t="shared" si="7"/>
        <v>1</v>
      </c>
      <c r="L245" t="s">
        <v>64</v>
      </c>
      <c r="M245">
        <f t="shared" si="6"/>
        <v>7</v>
      </c>
      <c r="N245" t="s">
        <v>27</v>
      </c>
      <c r="O245" t="s">
        <v>28</v>
      </c>
      <c r="P245" s="2">
        <v>647</v>
      </c>
      <c r="Q245" t="s">
        <v>104</v>
      </c>
      <c r="R245" t="s">
        <v>42</v>
      </c>
      <c r="S245" t="s">
        <v>58</v>
      </c>
      <c r="T245" t="s">
        <v>43</v>
      </c>
    </row>
    <row r="246" spans="1:20" x14ac:dyDescent="0.25">
      <c r="A246" s="2">
        <v>245</v>
      </c>
      <c r="B246" s="2">
        <v>62266</v>
      </c>
      <c r="C246" t="s">
        <v>60</v>
      </c>
      <c r="D246" t="s">
        <v>52</v>
      </c>
      <c r="E246" t="s">
        <v>99</v>
      </c>
      <c r="F246" t="s">
        <v>100</v>
      </c>
      <c r="G246" t="s">
        <v>45</v>
      </c>
      <c r="H246" t="s">
        <v>23</v>
      </c>
      <c r="I246" t="s">
        <v>47</v>
      </c>
      <c r="J246" t="s">
        <v>39</v>
      </c>
      <c r="K246" s="6">
        <f t="shared" si="7"/>
        <v>2.5</v>
      </c>
      <c r="L246" t="s">
        <v>49</v>
      </c>
      <c r="M246">
        <f t="shared" si="6"/>
        <v>3</v>
      </c>
      <c r="N246" t="s">
        <v>27</v>
      </c>
      <c r="O246" t="s">
        <v>103</v>
      </c>
      <c r="P246" s="2">
        <v>677</v>
      </c>
      <c r="Q246" t="s">
        <v>41</v>
      </c>
      <c r="R246" t="s">
        <v>30</v>
      </c>
      <c r="S246" t="s">
        <v>31</v>
      </c>
      <c r="T246" t="s">
        <v>32</v>
      </c>
    </row>
    <row r="247" spans="1:20" x14ac:dyDescent="0.25">
      <c r="A247" s="2">
        <v>246</v>
      </c>
      <c r="B247" s="2">
        <v>15422</v>
      </c>
      <c r="C247" t="s">
        <v>51</v>
      </c>
      <c r="D247" t="s">
        <v>52</v>
      </c>
      <c r="E247" t="s">
        <v>44</v>
      </c>
      <c r="F247" t="s">
        <v>44</v>
      </c>
      <c r="G247" t="s">
        <v>63</v>
      </c>
      <c r="H247" t="s">
        <v>23</v>
      </c>
      <c r="I247" t="s">
        <v>83</v>
      </c>
      <c r="J247" t="s">
        <v>39</v>
      </c>
      <c r="K247" s="6">
        <f t="shared" si="7"/>
        <v>0.55000000000000004</v>
      </c>
      <c r="L247" t="s">
        <v>64</v>
      </c>
      <c r="M247">
        <f t="shared" si="6"/>
        <v>7</v>
      </c>
      <c r="N247" t="s">
        <v>27</v>
      </c>
      <c r="O247" t="s">
        <v>103</v>
      </c>
      <c r="P247" s="2">
        <v>457</v>
      </c>
      <c r="Q247" t="s">
        <v>41</v>
      </c>
      <c r="R247" t="s">
        <v>68</v>
      </c>
      <c r="S247" t="s">
        <v>69</v>
      </c>
      <c r="T247" t="s">
        <v>43</v>
      </c>
    </row>
    <row r="248" spans="1:20" x14ac:dyDescent="0.25">
      <c r="A248" s="2">
        <v>247</v>
      </c>
      <c r="B248" s="2">
        <v>93977</v>
      </c>
      <c r="C248" t="s">
        <v>60</v>
      </c>
      <c r="D248" t="s">
        <v>52</v>
      </c>
      <c r="E248" t="s">
        <v>79</v>
      </c>
      <c r="F248" t="s">
        <v>80</v>
      </c>
      <c r="G248" t="s">
        <v>36</v>
      </c>
      <c r="H248" t="s">
        <v>73</v>
      </c>
      <c r="I248" t="s">
        <v>67</v>
      </c>
      <c r="J248" t="s">
        <v>48</v>
      </c>
      <c r="K248" s="6">
        <f t="shared" si="7"/>
        <v>2.2000000000000002</v>
      </c>
      <c r="L248" t="s">
        <v>64</v>
      </c>
      <c r="M248">
        <f t="shared" si="6"/>
        <v>7</v>
      </c>
      <c r="N248" t="s">
        <v>27</v>
      </c>
      <c r="O248" t="s">
        <v>103</v>
      </c>
      <c r="P248" s="2">
        <v>1438</v>
      </c>
      <c r="Q248" t="s">
        <v>29</v>
      </c>
      <c r="R248" t="s">
        <v>75</v>
      </c>
      <c r="S248" t="s">
        <v>50</v>
      </c>
      <c r="T248" t="s">
        <v>43</v>
      </c>
    </row>
    <row r="249" spans="1:20" x14ac:dyDescent="0.25">
      <c r="A249" s="2">
        <v>248</v>
      </c>
      <c r="B249" s="2">
        <v>37884</v>
      </c>
      <c r="C249" t="s">
        <v>19</v>
      </c>
      <c r="D249" t="s">
        <v>52</v>
      </c>
      <c r="E249" t="s">
        <v>99</v>
      </c>
      <c r="F249" t="s">
        <v>100</v>
      </c>
      <c r="G249" t="s">
        <v>81</v>
      </c>
      <c r="H249" t="s">
        <v>46</v>
      </c>
      <c r="I249" t="s">
        <v>47</v>
      </c>
      <c r="J249" t="s">
        <v>57</v>
      </c>
      <c r="K249" s="6">
        <f t="shared" si="7"/>
        <v>2.5</v>
      </c>
      <c r="L249" t="s">
        <v>64</v>
      </c>
      <c r="M249">
        <f t="shared" si="6"/>
        <v>7</v>
      </c>
      <c r="N249" t="s">
        <v>27</v>
      </c>
      <c r="O249" t="s">
        <v>28</v>
      </c>
      <c r="P249" s="2">
        <v>580</v>
      </c>
      <c r="Q249" t="s">
        <v>41</v>
      </c>
      <c r="R249" t="s">
        <v>75</v>
      </c>
      <c r="S249" t="s">
        <v>50</v>
      </c>
      <c r="T249" t="s">
        <v>32</v>
      </c>
    </row>
    <row r="250" spans="1:20" x14ac:dyDescent="0.25">
      <c r="A250" s="2">
        <v>249</v>
      </c>
      <c r="B250" s="2">
        <v>80669</v>
      </c>
      <c r="C250" t="s">
        <v>51</v>
      </c>
      <c r="D250" t="s">
        <v>52</v>
      </c>
      <c r="E250" t="s">
        <v>89</v>
      </c>
      <c r="F250" t="s">
        <v>90</v>
      </c>
      <c r="G250" t="s">
        <v>55</v>
      </c>
      <c r="H250" t="s">
        <v>46</v>
      </c>
      <c r="I250" t="s">
        <v>47</v>
      </c>
      <c r="J250" t="s">
        <v>57</v>
      </c>
      <c r="K250" s="6">
        <f t="shared" si="7"/>
        <v>1.25</v>
      </c>
      <c r="L250" t="s">
        <v>64</v>
      </c>
      <c r="M250">
        <f t="shared" si="6"/>
        <v>7</v>
      </c>
      <c r="N250" t="s">
        <v>27</v>
      </c>
      <c r="O250" t="s">
        <v>103</v>
      </c>
      <c r="P250" s="2">
        <v>276</v>
      </c>
      <c r="Q250" t="s">
        <v>41</v>
      </c>
      <c r="R250" t="s">
        <v>42</v>
      </c>
      <c r="S250" t="s">
        <v>50</v>
      </c>
      <c r="T250" t="s">
        <v>59</v>
      </c>
    </row>
    <row r="251" spans="1:20" x14ac:dyDescent="0.25">
      <c r="A251" s="2">
        <v>250</v>
      </c>
      <c r="B251" s="2">
        <v>93422</v>
      </c>
      <c r="C251" t="s">
        <v>33</v>
      </c>
      <c r="D251" t="s">
        <v>66</v>
      </c>
      <c r="E251" t="s">
        <v>93</v>
      </c>
      <c r="F251" t="s">
        <v>62</v>
      </c>
      <c r="G251" t="s">
        <v>55</v>
      </c>
      <c r="H251" t="s">
        <v>46</v>
      </c>
      <c r="I251" t="s">
        <v>47</v>
      </c>
      <c r="J251" t="s">
        <v>48</v>
      </c>
      <c r="K251" s="6">
        <f t="shared" si="7"/>
        <v>0.625</v>
      </c>
      <c r="L251" t="s">
        <v>64</v>
      </c>
      <c r="M251">
        <f t="shared" si="6"/>
        <v>7</v>
      </c>
      <c r="N251" t="s">
        <v>40</v>
      </c>
      <c r="O251" t="s">
        <v>82</v>
      </c>
      <c r="P251" s="2">
        <v>313</v>
      </c>
      <c r="Q251" t="s">
        <v>104</v>
      </c>
      <c r="R251" t="s">
        <v>68</v>
      </c>
      <c r="S251" t="s">
        <v>69</v>
      </c>
      <c r="T251" t="s">
        <v>43</v>
      </c>
    </row>
    <row r="252" spans="1:20" x14ac:dyDescent="0.25">
      <c r="A252" s="2">
        <v>251</v>
      </c>
      <c r="B252" s="2">
        <v>58333</v>
      </c>
      <c r="C252" t="s">
        <v>60</v>
      </c>
      <c r="D252" t="s">
        <v>52</v>
      </c>
      <c r="E252" t="s">
        <v>95</v>
      </c>
      <c r="F252" t="s">
        <v>21</v>
      </c>
      <c r="G252" t="s">
        <v>70</v>
      </c>
      <c r="H252" t="s">
        <v>46</v>
      </c>
      <c r="I252" t="s">
        <v>91</v>
      </c>
      <c r="J252" t="s">
        <v>48</v>
      </c>
      <c r="K252" s="6">
        <f t="shared" si="7"/>
        <v>0.55000000000000004</v>
      </c>
      <c r="L252" t="s">
        <v>26</v>
      </c>
      <c r="M252">
        <f t="shared" si="6"/>
        <v>1</v>
      </c>
      <c r="N252" t="s">
        <v>27</v>
      </c>
      <c r="O252" t="s">
        <v>103</v>
      </c>
      <c r="P252" s="2">
        <v>304</v>
      </c>
      <c r="Q252" t="s">
        <v>29</v>
      </c>
      <c r="R252" t="s">
        <v>68</v>
      </c>
      <c r="S252" t="s">
        <v>69</v>
      </c>
      <c r="T252" t="s">
        <v>43</v>
      </c>
    </row>
    <row r="253" spans="1:20" x14ac:dyDescent="0.25">
      <c r="A253" s="2">
        <v>252</v>
      </c>
      <c r="B253" s="2">
        <v>81522</v>
      </c>
      <c r="C253" t="s">
        <v>96</v>
      </c>
      <c r="D253" t="s">
        <v>66</v>
      </c>
      <c r="E253" t="s">
        <v>79</v>
      </c>
      <c r="F253" t="s">
        <v>80</v>
      </c>
      <c r="G253" t="s">
        <v>70</v>
      </c>
      <c r="H253" t="s">
        <v>23</v>
      </c>
      <c r="I253" t="s">
        <v>94</v>
      </c>
      <c r="J253" t="s">
        <v>25</v>
      </c>
      <c r="K253" s="6">
        <f t="shared" si="7"/>
        <v>1.5</v>
      </c>
      <c r="L253" t="s">
        <v>26</v>
      </c>
      <c r="M253">
        <f t="shared" si="6"/>
        <v>1</v>
      </c>
      <c r="N253" t="s">
        <v>40</v>
      </c>
      <c r="O253" t="s">
        <v>103</v>
      </c>
      <c r="P253" s="2">
        <v>497</v>
      </c>
      <c r="Q253" t="s">
        <v>41</v>
      </c>
      <c r="R253" t="s">
        <v>75</v>
      </c>
      <c r="S253" t="s">
        <v>69</v>
      </c>
      <c r="T253" t="s">
        <v>43</v>
      </c>
    </row>
    <row r="254" spans="1:20" x14ac:dyDescent="0.25">
      <c r="A254" s="2">
        <v>253</v>
      </c>
      <c r="B254" s="2">
        <v>75977</v>
      </c>
      <c r="C254" t="s">
        <v>51</v>
      </c>
      <c r="D254" t="s">
        <v>66</v>
      </c>
      <c r="E254" t="s">
        <v>53</v>
      </c>
      <c r="F254" t="s">
        <v>54</v>
      </c>
      <c r="G254" t="s">
        <v>92</v>
      </c>
      <c r="H254" t="s">
        <v>73</v>
      </c>
      <c r="I254" t="s">
        <v>94</v>
      </c>
      <c r="J254" t="s">
        <v>57</v>
      </c>
      <c r="K254" s="6">
        <f t="shared" si="7"/>
        <v>1.5</v>
      </c>
      <c r="L254" t="s">
        <v>64</v>
      </c>
      <c r="M254">
        <f t="shared" si="6"/>
        <v>7</v>
      </c>
      <c r="N254" t="s">
        <v>40</v>
      </c>
      <c r="O254" t="s">
        <v>65</v>
      </c>
      <c r="P254" s="2">
        <v>1294</v>
      </c>
      <c r="Q254" t="s">
        <v>74</v>
      </c>
      <c r="R254" t="s">
        <v>30</v>
      </c>
      <c r="S254" t="s">
        <v>31</v>
      </c>
      <c r="T254" t="s">
        <v>59</v>
      </c>
    </row>
    <row r="255" spans="1:20" x14ac:dyDescent="0.25">
      <c r="A255" s="2">
        <v>254</v>
      </c>
      <c r="B255" s="2">
        <v>84617</v>
      </c>
      <c r="C255" t="s">
        <v>96</v>
      </c>
      <c r="D255" t="s">
        <v>66</v>
      </c>
      <c r="E255" t="s">
        <v>99</v>
      </c>
      <c r="F255" t="s">
        <v>100</v>
      </c>
      <c r="G255" t="s">
        <v>36</v>
      </c>
      <c r="H255" t="s">
        <v>23</v>
      </c>
      <c r="I255" t="s">
        <v>94</v>
      </c>
      <c r="J255" t="s">
        <v>57</v>
      </c>
      <c r="K255" s="6">
        <f t="shared" si="7"/>
        <v>1.5</v>
      </c>
      <c r="L255" t="s">
        <v>64</v>
      </c>
      <c r="M255">
        <f t="shared" si="6"/>
        <v>7</v>
      </c>
      <c r="N255" t="s">
        <v>27</v>
      </c>
      <c r="O255" t="s">
        <v>103</v>
      </c>
      <c r="P255" s="2">
        <v>540</v>
      </c>
      <c r="Q255" t="s">
        <v>41</v>
      </c>
      <c r="R255" t="s">
        <v>30</v>
      </c>
      <c r="S255" t="s">
        <v>58</v>
      </c>
      <c r="T255" t="s">
        <v>32</v>
      </c>
    </row>
    <row r="256" spans="1:20" x14ac:dyDescent="0.25">
      <c r="A256" s="2">
        <v>255</v>
      </c>
      <c r="B256" s="2">
        <v>18843</v>
      </c>
      <c r="C256" t="s">
        <v>60</v>
      </c>
      <c r="D256" t="s">
        <v>66</v>
      </c>
      <c r="E256" t="s">
        <v>20</v>
      </c>
      <c r="F256" t="s">
        <v>21</v>
      </c>
      <c r="G256" t="s">
        <v>78</v>
      </c>
      <c r="H256" t="s">
        <v>71</v>
      </c>
      <c r="I256" t="s">
        <v>56</v>
      </c>
      <c r="J256" t="s">
        <v>57</v>
      </c>
      <c r="K256" s="6">
        <f t="shared" si="7"/>
        <v>0.55000000000000004</v>
      </c>
      <c r="L256" t="s">
        <v>64</v>
      </c>
      <c r="M256">
        <f t="shared" si="6"/>
        <v>7</v>
      </c>
      <c r="N256" t="s">
        <v>104</v>
      </c>
      <c r="O256" t="s">
        <v>103</v>
      </c>
      <c r="P256" s="2">
        <v>185</v>
      </c>
      <c r="Q256" t="s">
        <v>104</v>
      </c>
      <c r="R256" t="s">
        <v>68</v>
      </c>
      <c r="S256" t="s">
        <v>50</v>
      </c>
      <c r="T256" t="s">
        <v>32</v>
      </c>
    </row>
    <row r="257" spans="1:20" x14ac:dyDescent="0.25">
      <c r="A257" s="2">
        <v>256</v>
      </c>
      <c r="B257" s="2">
        <v>55077</v>
      </c>
      <c r="C257" t="s">
        <v>51</v>
      </c>
      <c r="D257" t="s">
        <v>52</v>
      </c>
      <c r="E257" t="s">
        <v>99</v>
      </c>
      <c r="F257" t="s">
        <v>100</v>
      </c>
      <c r="G257" t="s">
        <v>22</v>
      </c>
      <c r="H257" t="s">
        <v>71</v>
      </c>
      <c r="I257" t="s">
        <v>47</v>
      </c>
      <c r="J257" t="s">
        <v>25</v>
      </c>
      <c r="K257" s="6">
        <f t="shared" si="7"/>
        <v>0.625</v>
      </c>
      <c r="L257" t="s">
        <v>64</v>
      </c>
      <c r="M257">
        <f t="shared" si="6"/>
        <v>7</v>
      </c>
      <c r="N257" t="s">
        <v>40</v>
      </c>
      <c r="O257" t="s">
        <v>28</v>
      </c>
      <c r="P257" s="2">
        <v>278</v>
      </c>
      <c r="Q257" t="s">
        <v>41</v>
      </c>
      <c r="R257" t="s">
        <v>68</v>
      </c>
      <c r="S257" t="s">
        <v>31</v>
      </c>
      <c r="T257" t="s">
        <v>32</v>
      </c>
    </row>
    <row r="258" spans="1:20" x14ac:dyDescent="0.25">
      <c r="A258" s="2">
        <v>257</v>
      </c>
      <c r="B258" s="2">
        <v>27846</v>
      </c>
      <c r="C258" t="s">
        <v>19</v>
      </c>
      <c r="D258" t="s">
        <v>66</v>
      </c>
      <c r="E258" t="s">
        <v>34</v>
      </c>
      <c r="F258" t="s">
        <v>35</v>
      </c>
      <c r="G258" t="s">
        <v>36</v>
      </c>
      <c r="H258" t="s">
        <v>23</v>
      </c>
      <c r="I258" t="s">
        <v>91</v>
      </c>
      <c r="J258" t="s">
        <v>25</v>
      </c>
      <c r="K258" s="6">
        <f t="shared" si="7"/>
        <v>0.55000000000000004</v>
      </c>
      <c r="L258" t="s">
        <v>64</v>
      </c>
      <c r="M258">
        <f t="shared" ref="M258:M321" si="8">IF(L258="daily",7,IF(L258="weekly",3,1))</f>
        <v>7</v>
      </c>
      <c r="N258" t="s">
        <v>104</v>
      </c>
      <c r="O258" t="s">
        <v>82</v>
      </c>
      <c r="P258" s="2">
        <v>423</v>
      </c>
      <c r="Q258" t="s">
        <v>104</v>
      </c>
      <c r="R258" t="s">
        <v>68</v>
      </c>
      <c r="S258" t="s">
        <v>69</v>
      </c>
      <c r="T258" t="s">
        <v>43</v>
      </c>
    </row>
    <row r="259" spans="1:20" x14ac:dyDescent="0.25">
      <c r="A259" s="2">
        <v>258</v>
      </c>
      <c r="B259" s="2">
        <v>86422</v>
      </c>
      <c r="C259" t="s">
        <v>33</v>
      </c>
      <c r="D259" t="s">
        <v>66</v>
      </c>
      <c r="E259" t="s">
        <v>95</v>
      </c>
      <c r="F259" t="s">
        <v>21</v>
      </c>
      <c r="G259" t="s">
        <v>98</v>
      </c>
      <c r="H259" t="s">
        <v>23</v>
      </c>
      <c r="I259" t="s">
        <v>83</v>
      </c>
      <c r="J259" t="s">
        <v>25</v>
      </c>
      <c r="K259" s="6">
        <f t="shared" ref="K259:K322" si="9">IF(R259="Morning",2,IF(R259="Night",2,IF(R259="Evening",1,0.5)))
*
IF(I259="Espresso",0.75,IF(I259="Cold Brew",1.25,IF(I259="Filter Coffee",1.2,IF(I259="Instant Coffee",1,1.1))))</f>
        <v>0.55000000000000004</v>
      </c>
      <c r="L259" t="s">
        <v>64</v>
      </c>
      <c r="M259">
        <f t="shared" si="8"/>
        <v>7</v>
      </c>
      <c r="N259" t="s">
        <v>40</v>
      </c>
      <c r="O259" t="s">
        <v>82</v>
      </c>
      <c r="P259" s="2">
        <v>569</v>
      </c>
      <c r="Q259" t="s">
        <v>41</v>
      </c>
      <c r="R259" t="s">
        <v>68</v>
      </c>
      <c r="S259" t="s">
        <v>58</v>
      </c>
      <c r="T259" t="s">
        <v>43</v>
      </c>
    </row>
    <row r="260" spans="1:20" x14ac:dyDescent="0.25">
      <c r="A260" s="2">
        <v>259</v>
      </c>
      <c r="B260" s="2">
        <v>13132</v>
      </c>
      <c r="C260" t="s">
        <v>33</v>
      </c>
      <c r="D260" t="s">
        <v>52</v>
      </c>
      <c r="E260" t="s">
        <v>61</v>
      </c>
      <c r="F260" t="s">
        <v>62</v>
      </c>
      <c r="G260" t="s">
        <v>63</v>
      </c>
      <c r="H260" t="s">
        <v>73</v>
      </c>
      <c r="I260" t="s">
        <v>94</v>
      </c>
      <c r="J260" t="s">
        <v>57</v>
      </c>
      <c r="K260" s="6">
        <f t="shared" si="9"/>
        <v>0.375</v>
      </c>
      <c r="L260" t="s">
        <v>49</v>
      </c>
      <c r="M260">
        <f t="shared" si="8"/>
        <v>3</v>
      </c>
      <c r="N260" t="s">
        <v>27</v>
      </c>
      <c r="O260" t="s">
        <v>28</v>
      </c>
      <c r="P260" s="2">
        <v>1473</v>
      </c>
      <c r="Q260" t="s">
        <v>74</v>
      </c>
      <c r="R260" t="s">
        <v>68</v>
      </c>
      <c r="S260" t="s">
        <v>31</v>
      </c>
      <c r="T260" t="s">
        <v>59</v>
      </c>
    </row>
    <row r="261" spans="1:20" x14ac:dyDescent="0.25">
      <c r="A261" s="2">
        <v>260</v>
      </c>
      <c r="B261" s="2">
        <v>87749</v>
      </c>
      <c r="C261" t="s">
        <v>19</v>
      </c>
      <c r="D261" t="s">
        <v>52</v>
      </c>
      <c r="E261" t="s">
        <v>84</v>
      </c>
      <c r="F261" t="s">
        <v>85</v>
      </c>
      <c r="G261" t="s">
        <v>70</v>
      </c>
      <c r="H261" t="s">
        <v>46</v>
      </c>
      <c r="I261" t="s">
        <v>91</v>
      </c>
      <c r="J261" t="s">
        <v>57</v>
      </c>
      <c r="K261" s="6">
        <f t="shared" si="9"/>
        <v>2.2000000000000002</v>
      </c>
      <c r="L261" t="s">
        <v>64</v>
      </c>
      <c r="M261">
        <f t="shared" si="8"/>
        <v>7</v>
      </c>
      <c r="N261" t="s">
        <v>40</v>
      </c>
      <c r="O261" t="s">
        <v>28</v>
      </c>
      <c r="P261" s="2">
        <v>387</v>
      </c>
      <c r="Q261" t="s">
        <v>74</v>
      </c>
      <c r="R261" t="s">
        <v>30</v>
      </c>
      <c r="S261" t="s">
        <v>69</v>
      </c>
      <c r="T261" t="s">
        <v>32</v>
      </c>
    </row>
    <row r="262" spans="1:20" x14ac:dyDescent="0.25">
      <c r="A262" s="2">
        <v>261</v>
      </c>
      <c r="B262" s="2">
        <v>68974</v>
      </c>
      <c r="C262" t="s">
        <v>19</v>
      </c>
      <c r="D262" t="s">
        <v>66</v>
      </c>
      <c r="E262" t="s">
        <v>87</v>
      </c>
      <c r="F262" t="s">
        <v>88</v>
      </c>
      <c r="G262" t="s">
        <v>22</v>
      </c>
      <c r="H262" t="s">
        <v>71</v>
      </c>
      <c r="I262" t="s">
        <v>24</v>
      </c>
      <c r="J262" t="s">
        <v>25</v>
      </c>
      <c r="K262" s="6">
        <f t="shared" si="9"/>
        <v>1.2</v>
      </c>
      <c r="L262" t="s">
        <v>49</v>
      </c>
      <c r="M262">
        <f t="shared" si="8"/>
        <v>3</v>
      </c>
      <c r="N262" t="s">
        <v>40</v>
      </c>
      <c r="O262" t="s">
        <v>102</v>
      </c>
      <c r="P262" s="2">
        <v>168</v>
      </c>
      <c r="Q262" t="s">
        <v>104</v>
      </c>
      <c r="R262" t="s">
        <v>42</v>
      </c>
      <c r="S262" t="s">
        <v>58</v>
      </c>
      <c r="T262" t="s">
        <v>59</v>
      </c>
    </row>
    <row r="263" spans="1:20" x14ac:dyDescent="0.25">
      <c r="A263" s="2">
        <v>262</v>
      </c>
      <c r="B263" s="2">
        <v>13233</v>
      </c>
      <c r="C263" t="s">
        <v>19</v>
      </c>
      <c r="D263" t="s">
        <v>52</v>
      </c>
      <c r="E263" t="s">
        <v>84</v>
      </c>
      <c r="F263" t="s">
        <v>85</v>
      </c>
      <c r="G263" t="s">
        <v>70</v>
      </c>
      <c r="H263" t="s">
        <v>23</v>
      </c>
      <c r="I263" t="s">
        <v>67</v>
      </c>
      <c r="J263" t="s">
        <v>57</v>
      </c>
      <c r="K263" s="6">
        <f t="shared" si="9"/>
        <v>2.2000000000000002</v>
      </c>
      <c r="L263" t="s">
        <v>64</v>
      </c>
      <c r="M263">
        <f t="shared" si="8"/>
        <v>7</v>
      </c>
      <c r="N263" t="s">
        <v>40</v>
      </c>
      <c r="O263" t="s">
        <v>65</v>
      </c>
      <c r="P263" s="2">
        <v>803</v>
      </c>
      <c r="Q263" t="s">
        <v>41</v>
      </c>
      <c r="R263" t="s">
        <v>30</v>
      </c>
      <c r="S263" t="s">
        <v>69</v>
      </c>
      <c r="T263" t="s">
        <v>32</v>
      </c>
    </row>
    <row r="264" spans="1:20" x14ac:dyDescent="0.25">
      <c r="A264" s="2">
        <v>263</v>
      </c>
      <c r="B264" s="2">
        <v>37575</v>
      </c>
      <c r="C264" t="s">
        <v>51</v>
      </c>
      <c r="D264" t="s">
        <v>52</v>
      </c>
      <c r="E264" t="s">
        <v>97</v>
      </c>
      <c r="F264" t="s">
        <v>62</v>
      </c>
      <c r="G264" t="s">
        <v>22</v>
      </c>
      <c r="H264" t="s">
        <v>37</v>
      </c>
      <c r="I264" t="s">
        <v>91</v>
      </c>
      <c r="J264" t="s">
        <v>57</v>
      </c>
      <c r="K264" s="6">
        <f t="shared" si="9"/>
        <v>2.2000000000000002</v>
      </c>
      <c r="L264" t="s">
        <v>64</v>
      </c>
      <c r="M264">
        <f t="shared" si="8"/>
        <v>7</v>
      </c>
      <c r="N264" t="s">
        <v>27</v>
      </c>
      <c r="O264" t="s">
        <v>103</v>
      </c>
      <c r="P264" s="2">
        <v>1902</v>
      </c>
      <c r="Q264" t="s">
        <v>104</v>
      </c>
      <c r="R264" t="s">
        <v>30</v>
      </c>
      <c r="S264" t="s">
        <v>69</v>
      </c>
      <c r="T264" t="s">
        <v>59</v>
      </c>
    </row>
    <row r="265" spans="1:20" x14ac:dyDescent="0.25">
      <c r="A265" s="2">
        <v>264</v>
      </c>
      <c r="B265" s="2">
        <v>73959</v>
      </c>
      <c r="C265" t="s">
        <v>33</v>
      </c>
      <c r="D265" t="s">
        <v>66</v>
      </c>
      <c r="E265" t="s">
        <v>87</v>
      </c>
      <c r="F265" t="s">
        <v>88</v>
      </c>
      <c r="G265" t="s">
        <v>22</v>
      </c>
      <c r="H265" t="s">
        <v>71</v>
      </c>
      <c r="I265" t="s">
        <v>47</v>
      </c>
      <c r="J265" t="s">
        <v>48</v>
      </c>
      <c r="K265" s="6">
        <f t="shared" si="9"/>
        <v>2.5</v>
      </c>
      <c r="L265" t="s">
        <v>26</v>
      </c>
      <c r="M265">
        <f t="shared" si="8"/>
        <v>1</v>
      </c>
      <c r="N265" t="s">
        <v>27</v>
      </c>
      <c r="O265" t="s">
        <v>103</v>
      </c>
      <c r="P265" s="2">
        <v>169</v>
      </c>
      <c r="Q265" t="s">
        <v>104</v>
      </c>
      <c r="R265" t="s">
        <v>75</v>
      </c>
      <c r="S265" t="s">
        <v>69</v>
      </c>
      <c r="T265" t="s">
        <v>59</v>
      </c>
    </row>
    <row r="266" spans="1:20" x14ac:dyDescent="0.25">
      <c r="A266" s="2">
        <v>265</v>
      </c>
      <c r="B266" s="2">
        <v>47615</v>
      </c>
      <c r="C266" t="s">
        <v>51</v>
      </c>
      <c r="D266" t="s">
        <v>66</v>
      </c>
      <c r="E266" t="s">
        <v>20</v>
      </c>
      <c r="F266" t="s">
        <v>21</v>
      </c>
      <c r="G266" t="s">
        <v>45</v>
      </c>
      <c r="H266" t="s">
        <v>73</v>
      </c>
      <c r="I266" t="s">
        <v>91</v>
      </c>
      <c r="J266" t="s">
        <v>86</v>
      </c>
      <c r="K266" s="6">
        <f t="shared" si="9"/>
        <v>0.55000000000000004</v>
      </c>
      <c r="L266" t="s">
        <v>64</v>
      </c>
      <c r="M266">
        <f t="shared" si="8"/>
        <v>7</v>
      </c>
      <c r="N266" t="s">
        <v>40</v>
      </c>
      <c r="O266" t="s">
        <v>82</v>
      </c>
      <c r="P266" s="2">
        <v>1057</v>
      </c>
      <c r="Q266" t="s">
        <v>29</v>
      </c>
      <c r="R266" t="s">
        <v>68</v>
      </c>
      <c r="S266" t="s">
        <v>31</v>
      </c>
      <c r="T266" t="s">
        <v>32</v>
      </c>
    </row>
    <row r="267" spans="1:20" x14ac:dyDescent="0.25">
      <c r="A267" s="2">
        <v>266</v>
      </c>
      <c r="B267" s="2">
        <v>11669</v>
      </c>
      <c r="C267" t="s">
        <v>51</v>
      </c>
      <c r="D267" t="s">
        <v>66</v>
      </c>
      <c r="E267" t="s">
        <v>76</v>
      </c>
      <c r="F267" t="s">
        <v>77</v>
      </c>
      <c r="G267" t="s">
        <v>55</v>
      </c>
      <c r="H267" t="s">
        <v>71</v>
      </c>
      <c r="I267" t="s">
        <v>38</v>
      </c>
      <c r="J267" t="s">
        <v>25</v>
      </c>
      <c r="K267" s="6">
        <f t="shared" si="9"/>
        <v>2</v>
      </c>
      <c r="L267" t="s">
        <v>26</v>
      </c>
      <c r="M267">
        <f t="shared" si="8"/>
        <v>1</v>
      </c>
      <c r="N267" t="s">
        <v>27</v>
      </c>
      <c r="O267" t="s">
        <v>65</v>
      </c>
      <c r="P267" s="2">
        <v>218</v>
      </c>
      <c r="Q267" t="s">
        <v>41</v>
      </c>
      <c r="R267" t="s">
        <v>30</v>
      </c>
      <c r="S267" t="s">
        <v>50</v>
      </c>
      <c r="T267" t="s">
        <v>43</v>
      </c>
    </row>
    <row r="268" spans="1:20" x14ac:dyDescent="0.25">
      <c r="A268" s="2">
        <v>267</v>
      </c>
      <c r="B268" s="2">
        <v>99757</v>
      </c>
      <c r="C268" t="s">
        <v>51</v>
      </c>
      <c r="D268" t="s">
        <v>66</v>
      </c>
      <c r="E268" t="s">
        <v>20</v>
      </c>
      <c r="F268" t="s">
        <v>21</v>
      </c>
      <c r="G268" t="s">
        <v>98</v>
      </c>
      <c r="H268" t="s">
        <v>46</v>
      </c>
      <c r="I268" t="s">
        <v>56</v>
      </c>
      <c r="J268" t="s">
        <v>86</v>
      </c>
      <c r="K268" s="6">
        <f t="shared" si="9"/>
        <v>0.55000000000000004</v>
      </c>
      <c r="L268" t="s">
        <v>64</v>
      </c>
      <c r="M268">
        <f t="shared" si="8"/>
        <v>7</v>
      </c>
      <c r="N268" t="s">
        <v>27</v>
      </c>
      <c r="O268" t="s">
        <v>102</v>
      </c>
      <c r="P268" s="2">
        <v>447</v>
      </c>
      <c r="Q268" t="s">
        <v>104</v>
      </c>
      <c r="R268" t="s">
        <v>68</v>
      </c>
      <c r="S268" t="s">
        <v>69</v>
      </c>
      <c r="T268" t="s">
        <v>32</v>
      </c>
    </row>
    <row r="269" spans="1:20" x14ac:dyDescent="0.25">
      <c r="A269" s="2">
        <v>268</v>
      </c>
      <c r="B269" s="2">
        <v>90790</v>
      </c>
      <c r="C269" t="s">
        <v>51</v>
      </c>
      <c r="D269" t="s">
        <v>66</v>
      </c>
      <c r="E269" t="s">
        <v>93</v>
      </c>
      <c r="F269" t="s">
        <v>62</v>
      </c>
      <c r="G269" t="s">
        <v>45</v>
      </c>
      <c r="H269" t="s">
        <v>73</v>
      </c>
      <c r="I269" t="s">
        <v>24</v>
      </c>
      <c r="J269" t="s">
        <v>57</v>
      </c>
      <c r="K269" s="6">
        <f t="shared" si="9"/>
        <v>2.4</v>
      </c>
      <c r="L269" t="s">
        <v>64</v>
      </c>
      <c r="M269">
        <f t="shared" si="8"/>
        <v>7</v>
      </c>
      <c r="N269" t="s">
        <v>27</v>
      </c>
      <c r="O269" t="s">
        <v>103</v>
      </c>
      <c r="P269" s="2">
        <v>1275</v>
      </c>
      <c r="Q269" t="s">
        <v>41</v>
      </c>
      <c r="R269" t="s">
        <v>75</v>
      </c>
      <c r="S269" t="s">
        <v>69</v>
      </c>
      <c r="T269" t="s">
        <v>43</v>
      </c>
    </row>
    <row r="270" spans="1:20" x14ac:dyDescent="0.25">
      <c r="A270" s="2">
        <v>269</v>
      </c>
      <c r="B270" s="2">
        <v>15342</v>
      </c>
      <c r="C270" t="s">
        <v>51</v>
      </c>
      <c r="D270" t="s">
        <v>66</v>
      </c>
      <c r="E270" t="s">
        <v>93</v>
      </c>
      <c r="F270" t="s">
        <v>62</v>
      </c>
      <c r="G270" t="s">
        <v>78</v>
      </c>
      <c r="H270" t="s">
        <v>23</v>
      </c>
      <c r="I270" t="s">
        <v>91</v>
      </c>
      <c r="J270" t="s">
        <v>48</v>
      </c>
      <c r="K270" s="6">
        <f t="shared" si="9"/>
        <v>0.55000000000000004</v>
      </c>
      <c r="L270" t="s">
        <v>64</v>
      </c>
      <c r="M270">
        <f t="shared" si="8"/>
        <v>7</v>
      </c>
      <c r="N270" t="s">
        <v>104</v>
      </c>
      <c r="O270" t="s">
        <v>102</v>
      </c>
      <c r="P270" s="2">
        <v>506</v>
      </c>
      <c r="Q270" t="s">
        <v>41</v>
      </c>
      <c r="R270" t="s">
        <v>68</v>
      </c>
      <c r="S270" t="s">
        <v>58</v>
      </c>
      <c r="T270" t="s">
        <v>43</v>
      </c>
    </row>
    <row r="271" spans="1:20" x14ac:dyDescent="0.25">
      <c r="A271" s="2">
        <v>270</v>
      </c>
      <c r="B271" s="2">
        <v>91979</v>
      </c>
      <c r="C271" t="s">
        <v>60</v>
      </c>
      <c r="D271" t="s">
        <v>66</v>
      </c>
      <c r="E271" t="s">
        <v>93</v>
      </c>
      <c r="F271" t="s">
        <v>62</v>
      </c>
      <c r="G271" t="s">
        <v>78</v>
      </c>
      <c r="H271" t="s">
        <v>23</v>
      </c>
      <c r="I271" t="s">
        <v>38</v>
      </c>
      <c r="J271" t="s">
        <v>57</v>
      </c>
      <c r="K271" s="6">
        <f t="shared" si="9"/>
        <v>2</v>
      </c>
      <c r="L271" t="s">
        <v>64</v>
      </c>
      <c r="M271">
        <f t="shared" si="8"/>
        <v>7</v>
      </c>
      <c r="N271" t="s">
        <v>27</v>
      </c>
      <c r="O271" t="s">
        <v>103</v>
      </c>
      <c r="P271" s="2">
        <v>634</v>
      </c>
      <c r="Q271" t="s">
        <v>104</v>
      </c>
      <c r="R271" t="s">
        <v>30</v>
      </c>
      <c r="S271" t="s">
        <v>31</v>
      </c>
      <c r="T271" t="s">
        <v>43</v>
      </c>
    </row>
    <row r="272" spans="1:20" x14ac:dyDescent="0.25">
      <c r="A272" s="2">
        <v>271</v>
      </c>
      <c r="B272" s="2">
        <v>42638</v>
      </c>
      <c r="C272" t="s">
        <v>60</v>
      </c>
      <c r="D272" t="s">
        <v>52</v>
      </c>
      <c r="E272" t="s">
        <v>97</v>
      </c>
      <c r="F272" t="s">
        <v>62</v>
      </c>
      <c r="G272" t="s">
        <v>22</v>
      </c>
      <c r="H272" t="s">
        <v>23</v>
      </c>
      <c r="I272" t="s">
        <v>91</v>
      </c>
      <c r="J272" t="s">
        <v>57</v>
      </c>
      <c r="K272" s="6">
        <f t="shared" si="9"/>
        <v>2.2000000000000002</v>
      </c>
      <c r="L272" t="s">
        <v>49</v>
      </c>
      <c r="M272">
        <f t="shared" si="8"/>
        <v>3</v>
      </c>
      <c r="N272" t="s">
        <v>40</v>
      </c>
      <c r="O272" t="s">
        <v>28</v>
      </c>
      <c r="P272" s="2">
        <v>634</v>
      </c>
      <c r="Q272" t="s">
        <v>74</v>
      </c>
      <c r="R272" t="s">
        <v>75</v>
      </c>
      <c r="S272" t="s">
        <v>50</v>
      </c>
      <c r="T272" t="s">
        <v>59</v>
      </c>
    </row>
    <row r="273" spans="1:20" x14ac:dyDescent="0.25">
      <c r="A273" s="2">
        <v>272</v>
      </c>
      <c r="B273" s="2">
        <v>75713</v>
      </c>
      <c r="C273" t="s">
        <v>19</v>
      </c>
      <c r="D273" t="s">
        <v>52</v>
      </c>
      <c r="E273" t="s">
        <v>101</v>
      </c>
      <c r="F273" t="s">
        <v>80</v>
      </c>
      <c r="G273" t="s">
        <v>98</v>
      </c>
      <c r="H273" t="s">
        <v>73</v>
      </c>
      <c r="I273" t="s">
        <v>38</v>
      </c>
      <c r="J273" t="s">
        <v>57</v>
      </c>
      <c r="K273" s="6">
        <f t="shared" si="9"/>
        <v>2</v>
      </c>
      <c r="L273" t="s">
        <v>64</v>
      </c>
      <c r="M273">
        <f t="shared" si="8"/>
        <v>7</v>
      </c>
      <c r="N273" t="s">
        <v>104</v>
      </c>
      <c r="O273" t="s">
        <v>103</v>
      </c>
      <c r="P273" s="2">
        <v>1211</v>
      </c>
      <c r="Q273" t="s">
        <v>29</v>
      </c>
      <c r="R273" t="s">
        <v>75</v>
      </c>
      <c r="S273" t="s">
        <v>69</v>
      </c>
      <c r="T273" t="s">
        <v>32</v>
      </c>
    </row>
    <row r="274" spans="1:20" x14ac:dyDescent="0.25">
      <c r="A274" s="2">
        <v>273</v>
      </c>
      <c r="B274" s="2">
        <v>26406</v>
      </c>
      <c r="C274" t="s">
        <v>96</v>
      </c>
      <c r="D274" t="s">
        <v>52</v>
      </c>
      <c r="E274" t="s">
        <v>84</v>
      </c>
      <c r="F274" t="s">
        <v>85</v>
      </c>
      <c r="G274" t="s">
        <v>92</v>
      </c>
      <c r="H274" t="s">
        <v>23</v>
      </c>
      <c r="I274" t="s">
        <v>91</v>
      </c>
      <c r="J274" t="s">
        <v>48</v>
      </c>
      <c r="K274" s="6">
        <f t="shared" si="9"/>
        <v>2.2000000000000002</v>
      </c>
      <c r="L274" t="s">
        <v>64</v>
      </c>
      <c r="M274">
        <f t="shared" si="8"/>
        <v>7</v>
      </c>
      <c r="N274" t="s">
        <v>40</v>
      </c>
      <c r="O274" t="s">
        <v>28</v>
      </c>
      <c r="P274" s="2">
        <v>889</v>
      </c>
      <c r="Q274" t="s">
        <v>74</v>
      </c>
      <c r="R274" t="s">
        <v>30</v>
      </c>
      <c r="S274" t="s">
        <v>50</v>
      </c>
      <c r="T274" t="s">
        <v>32</v>
      </c>
    </row>
    <row r="275" spans="1:20" x14ac:dyDescent="0.25">
      <c r="A275" s="2">
        <v>274</v>
      </c>
      <c r="B275" s="2">
        <v>96085</v>
      </c>
      <c r="C275" t="s">
        <v>19</v>
      </c>
      <c r="D275" t="s">
        <v>66</v>
      </c>
      <c r="E275" t="s">
        <v>53</v>
      </c>
      <c r="F275" t="s">
        <v>54</v>
      </c>
      <c r="G275" t="s">
        <v>98</v>
      </c>
      <c r="H275" t="s">
        <v>71</v>
      </c>
      <c r="I275" t="s">
        <v>47</v>
      </c>
      <c r="J275" t="s">
        <v>25</v>
      </c>
      <c r="K275" s="6">
        <f t="shared" si="9"/>
        <v>2.5</v>
      </c>
      <c r="L275" t="s">
        <v>49</v>
      </c>
      <c r="M275">
        <f t="shared" si="8"/>
        <v>3</v>
      </c>
      <c r="N275" t="s">
        <v>40</v>
      </c>
      <c r="O275" t="s">
        <v>28</v>
      </c>
      <c r="P275" s="2">
        <v>379</v>
      </c>
      <c r="Q275" t="s">
        <v>74</v>
      </c>
      <c r="R275" t="s">
        <v>75</v>
      </c>
      <c r="S275" t="s">
        <v>58</v>
      </c>
      <c r="T275" t="s">
        <v>59</v>
      </c>
    </row>
    <row r="276" spans="1:20" x14ac:dyDescent="0.25">
      <c r="A276" s="2">
        <v>275</v>
      </c>
      <c r="B276" s="2">
        <v>43868</v>
      </c>
      <c r="C276" t="s">
        <v>19</v>
      </c>
      <c r="D276" t="s">
        <v>66</v>
      </c>
      <c r="E276" t="s">
        <v>93</v>
      </c>
      <c r="F276" t="s">
        <v>62</v>
      </c>
      <c r="G276" t="s">
        <v>22</v>
      </c>
      <c r="H276" t="s">
        <v>23</v>
      </c>
      <c r="I276" t="s">
        <v>94</v>
      </c>
      <c r="J276" t="s">
        <v>57</v>
      </c>
      <c r="K276" s="6">
        <f t="shared" si="9"/>
        <v>1.5</v>
      </c>
      <c r="L276" t="s">
        <v>49</v>
      </c>
      <c r="M276">
        <f t="shared" si="8"/>
        <v>3</v>
      </c>
      <c r="N276" t="s">
        <v>40</v>
      </c>
      <c r="O276" t="s">
        <v>82</v>
      </c>
      <c r="P276" s="2">
        <v>822</v>
      </c>
      <c r="Q276" t="s">
        <v>74</v>
      </c>
      <c r="R276" t="s">
        <v>30</v>
      </c>
      <c r="S276" t="s">
        <v>50</v>
      </c>
      <c r="T276" t="s">
        <v>43</v>
      </c>
    </row>
    <row r="277" spans="1:20" x14ac:dyDescent="0.25">
      <c r="A277" s="2">
        <v>276</v>
      </c>
      <c r="B277" s="2">
        <v>78311</v>
      </c>
      <c r="C277" t="s">
        <v>19</v>
      </c>
      <c r="D277" t="s">
        <v>66</v>
      </c>
      <c r="E277" t="s">
        <v>97</v>
      </c>
      <c r="F277" t="s">
        <v>62</v>
      </c>
      <c r="G277" t="s">
        <v>63</v>
      </c>
      <c r="H277" t="s">
        <v>73</v>
      </c>
      <c r="I277" t="s">
        <v>38</v>
      </c>
      <c r="J277" t="s">
        <v>57</v>
      </c>
      <c r="K277" s="6">
        <f t="shared" si="9"/>
        <v>1</v>
      </c>
      <c r="L277" t="s">
        <v>64</v>
      </c>
      <c r="M277">
        <f t="shared" si="8"/>
        <v>7</v>
      </c>
      <c r="N277" t="s">
        <v>40</v>
      </c>
      <c r="O277" t="s">
        <v>72</v>
      </c>
      <c r="P277" s="2">
        <v>918</v>
      </c>
      <c r="Q277" t="s">
        <v>29</v>
      </c>
      <c r="R277" t="s">
        <v>42</v>
      </c>
      <c r="S277" t="s">
        <v>58</v>
      </c>
      <c r="T277" t="s">
        <v>59</v>
      </c>
    </row>
    <row r="278" spans="1:20" x14ac:dyDescent="0.25">
      <c r="A278" s="2">
        <v>277</v>
      </c>
      <c r="B278" s="2">
        <v>55640</v>
      </c>
      <c r="C278" t="s">
        <v>60</v>
      </c>
      <c r="D278" t="s">
        <v>52</v>
      </c>
      <c r="E278" t="s">
        <v>95</v>
      </c>
      <c r="F278" t="s">
        <v>21</v>
      </c>
      <c r="G278" t="s">
        <v>36</v>
      </c>
      <c r="H278" t="s">
        <v>46</v>
      </c>
      <c r="I278" t="s">
        <v>91</v>
      </c>
      <c r="J278" t="s">
        <v>25</v>
      </c>
      <c r="K278" s="6">
        <f t="shared" si="9"/>
        <v>2.2000000000000002</v>
      </c>
      <c r="L278" t="s">
        <v>64</v>
      </c>
      <c r="M278">
        <f t="shared" si="8"/>
        <v>7</v>
      </c>
      <c r="N278" t="s">
        <v>40</v>
      </c>
      <c r="O278" t="s">
        <v>103</v>
      </c>
      <c r="P278" s="2">
        <v>562</v>
      </c>
      <c r="Q278" t="s">
        <v>104</v>
      </c>
      <c r="R278" t="s">
        <v>30</v>
      </c>
      <c r="S278" t="s">
        <v>50</v>
      </c>
      <c r="T278" t="s">
        <v>43</v>
      </c>
    </row>
    <row r="279" spans="1:20" x14ac:dyDescent="0.25">
      <c r="A279" s="2">
        <v>278</v>
      </c>
      <c r="B279" s="2">
        <v>71566</v>
      </c>
      <c r="C279" t="s">
        <v>51</v>
      </c>
      <c r="D279" t="s">
        <v>66</v>
      </c>
      <c r="E279" t="s">
        <v>84</v>
      </c>
      <c r="F279" t="s">
        <v>85</v>
      </c>
      <c r="G279" t="s">
        <v>78</v>
      </c>
      <c r="H279" t="s">
        <v>73</v>
      </c>
      <c r="I279" t="s">
        <v>56</v>
      </c>
      <c r="J279" t="s">
        <v>57</v>
      </c>
      <c r="K279" s="6">
        <f t="shared" si="9"/>
        <v>2.2000000000000002</v>
      </c>
      <c r="L279" t="s">
        <v>26</v>
      </c>
      <c r="M279">
        <f t="shared" si="8"/>
        <v>1</v>
      </c>
      <c r="N279" t="s">
        <v>40</v>
      </c>
      <c r="O279" t="s">
        <v>65</v>
      </c>
      <c r="P279" s="2">
        <v>1447</v>
      </c>
      <c r="Q279" t="s">
        <v>74</v>
      </c>
      <c r="R279" t="s">
        <v>75</v>
      </c>
      <c r="S279" t="s">
        <v>69</v>
      </c>
      <c r="T279" t="s">
        <v>32</v>
      </c>
    </row>
    <row r="280" spans="1:20" x14ac:dyDescent="0.25">
      <c r="A280" s="2">
        <v>279</v>
      </c>
      <c r="B280" s="2">
        <v>52130</v>
      </c>
      <c r="C280" t="s">
        <v>51</v>
      </c>
      <c r="D280" t="s">
        <v>66</v>
      </c>
      <c r="E280" t="s">
        <v>93</v>
      </c>
      <c r="F280" t="s">
        <v>62</v>
      </c>
      <c r="G280" t="s">
        <v>36</v>
      </c>
      <c r="H280" t="s">
        <v>71</v>
      </c>
      <c r="I280" t="s">
        <v>47</v>
      </c>
      <c r="J280" t="s">
        <v>57</v>
      </c>
      <c r="K280" s="6">
        <f t="shared" si="9"/>
        <v>2.5</v>
      </c>
      <c r="L280" t="s">
        <v>26</v>
      </c>
      <c r="M280">
        <f t="shared" si="8"/>
        <v>1</v>
      </c>
      <c r="N280" t="s">
        <v>27</v>
      </c>
      <c r="O280" t="s">
        <v>28</v>
      </c>
      <c r="P280" s="2">
        <v>178</v>
      </c>
      <c r="Q280" t="s">
        <v>29</v>
      </c>
      <c r="R280" t="s">
        <v>30</v>
      </c>
      <c r="S280" t="s">
        <v>69</v>
      </c>
      <c r="T280" t="s">
        <v>43</v>
      </c>
    </row>
    <row r="281" spans="1:20" x14ac:dyDescent="0.25">
      <c r="A281" s="2">
        <v>280</v>
      </c>
      <c r="B281" s="2">
        <v>52048</v>
      </c>
      <c r="C281" t="s">
        <v>33</v>
      </c>
      <c r="D281" t="s">
        <v>52</v>
      </c>
      <c r="E281" t="s">
        <v>79</v>
      </c>
      <c r="F281" t="s">
        <v>80</v>
      </c>
      <c r="G281" t="s">
        <v>22</v>
      </c>
      <c r="H281" t="s">
        <v>23</v>
      </c>
      <c r="I281" t="s">
        <v>47</v>
      </c>
      <c r="J281" t="s">
        <v>48</v>
      </c>
      <c r="K281" s="6">
        <f t="shared" si="9"/>
        <v>2.5</v>
      </c>
      <c r="L281" t="s">
        <v>49</v>
      </c>
      <c r="M281">
        <f t="shared" si="8"/>
        <v>3</v>
      </c>
      <c r="N281" t="s">
        <v>27</v>
      </c>
      <c r="O281" t="s">
        <v>28</v>
      </c>
      <c r="P281" s="2">
        <v>445</v>
      </c>
      <c r="Q281" t="s">
        <v>29</v>
      </c>
      <c r="R281" t="s">
        <v>75</v>
      </c>
      <c r="S281" t="s">
        <v>31</v>
      </c>
      <c r="T281" t="s">
        <v>43</v>
      </c>
    </row>
    <row r="282" spans="1:20" x14ac:dyDescent="0.25">
      <c r="A282" s="2">
        <v>281</v>
      </c>
      <c r="B282" s="2">
        <v>56390</v>
      </c>
      <c r="C282" t="s">
        <v>33</v>
      </c>
      <c r="D282" t="s">
        <v>66</v>
      </c>
      <c r="E282" t="s">
        <v>34</v>
      </c>
      <c r="F282" t="s">
        <v>35</v>
      </c>
      <c r="G282" t="s">
        <v>92</v>
      </c>
      <c r="H282" t="s">
        <v>23</v>
      </c>
      <c r="I282" t="s">
        <v>47</v>
      </c>
      <c r="J282" t="s">
        <v>48</v>
      </c>
      <c r="K282" s="6">
        <f t="shared" si="9"/>
        <v>0.625</v>
      </c>
      <c r="L282" t="s">
        <v>64</v>
      </c>
      <c r="M282">
        <f t="shared" si="8"/>
        <v>7</v>
      </c>
      <c r="N282" t="s">
        <v>27</v>
      </c>
      <c r="O282" t="s">
        <v>28</v>
      </c>
      <c r="P282" s="2">
        <v>836</v>
      </c>
      <c r="Q282" t="s">
        <v>74</v>
      </c>
      <c r="R282" t="s">
        <v>68</v>
      </c>
      <c r="S282" t="s">
        <v>58</v>
      </c>
      <c r="T282" t="s">
        <v>43</v>
      </c>
    </row>
    <row r="283" spans="1:20" x14ac:dyDescent="0.25">
      <c r="A283" s="2">
        <v>282</v>
      </c>
      <c r="B283" s="2">
        <v>60088</v>
      </c>
      <c r="C283" t="s">
        <v>51</v>
      </c>
      <c r="D283" t="s">
        <v>66</v>
      </c>
      <c r="E283" t="s">
        <v>93</v>
      </c>
      <c r="F283" t="s">
        <v>62</v>
      </c>
      <c r="G283" t="s">
        <v>78</v>
      </c>
      <c r="H283" t="s">
        <v>73</v>
      </c>
      <c r="I283" t="s">
        <v>94</v>
      </c>
      <c r="J283" t="s">
        <v>48</v>
      </c>
      <c r="K283" s="6">
        <f t="shared" si="9"/>
        <v>1.5</v>
      </c>
      <c r="L283" t="s">
        <v>64</v>
      </c>
      <c r="M283">
        <f t="shared" si="8"/>
        <v>7</v>
      </c>
      <c r="N283" t="s">
        <v>40</v>
      </c>
      <c r="O283" t="s">
        <v>103</v>
      </c>
      <c r="P283" s="2">
        <v>915</v>
      </c>
      <c r="Q283" t="s">
        <v>74</v>
      </c>
      <c r="R283" t="s">
        <v>75</v>
      </c>
      <c r="S283" t="s">
        <v>58</v>
      </c>
      <c r="T283" t="s">
        <v>43</v>
      </c>
    </row>
    <row r="284" spans="1:20" x14ac:dyDescent="0.25">
      <c r="A284" s="2">
        <v>283</v>
      </c>
      <c r="B284" s="2">
        <v>83011</v>
      </c>
      <c r="C284" t="s">
        <v>19</v>
      </c>
      <c r="D284" t="s">
        <v>66</v>
      </c>
      <c r="E284" t="s">
        <v>93</v>
      </c>
      <c r="F284" t="s">
        <v>62</v>
      </c>
      <c r="G284" t="s">
        <v>63</v>
      </c>
      <c r="H284" t="s">
        <v>37</v>
      </c>
      <c r="I284" t="s">
        <v>67</v>
      </c>
      <c r="J284" t="s">
        <v>48</v>
      </c>
      <c r="K284" s="6">
        <f t="shared" si="9"/>
        <v>2.2000000000000002</v>
      </c>
      <c r="L284" t="s">
        <v>64</v>
      </c>
      <c r="M284">
        <f t="shared" si="8"/>
        <v>7</v>
      </c>
      <c r="N284" t="s">
        <v>27</v>
      </c>
      <c r="O284" t="s">
        <v>28</v>
      </c>
      <c r="P284" s="2">
        <v>1588</v>
      </c>
      <c r="Q284" t="s">
        <v>29</v>
      </c>
      <c r="R284" t="s">
        <v>30</v>
      </c>
      <c r="S284" t="s">
        <v>31</v>
      </c>
      <c r="T284" t="s">
        <v>43</v>
      </c>
    </row>
    <row r="285" spans="1:20" x14ac:dyDescent="0.25">
      <c r="A285" s="2">
        <v>284</v>
      </c>
      <c r="B285" s="2">
        <v>27034</v>
      </c>
      <c r="C285" t="s">
        <v>60</v>
      </c>
      <c r="D285" t="s">
        <v>66</v>
      </c>
      <c r="E285" t="s">
        <v>34</v>
      </c>
      <c r="F285" t="s">
        <v>35</v>
      </c>
      <c r="G285" t="s">
        <v>22</v>
      </c>
      <c r="H285" t="s">
        <v>37</v>
      </c>
      <c r="I285" t="s">
        <v>67</v>
      </c>
      <c r="J285" t="s">
        <v>86</v>
      </c>
      <c r="K285" s="6">
        <f t="shared" si="9"/>
        <v>1.1000000000000001</v>
      </c>
      <c r="L285" t="s">
        <v>64</v>
      </c>
      <c r="M285">
        <f t="shared" si="8"/>
        <v>7</v>
      </c>
      <c r="N285" t="s">
        <v>40</v>
      </c>
      <c r="O285" t="s">
        <v>28</v>
      </c>
      <c r="P285" s="2">
        <v>2743</v>
      </c>
      <c r="Q285" t="s">
        <v>41</v>
      </c>
      <c r="R285" t="s">
        <v>42</v>
      </c>
      <c r="S285" t="s">
        <v>31</v>
      </c>
      <c r="T285" t="s">
        <v>43</v>
      </c>
    </row>
    <row r="286" spans="1:20" x14ac:dyDescent="0.25">
      <c r="A286" s="2">
        <v>285</v>
      </c>
      <c r="B286" s="2">
        <v>58079</v>
      </c>
      <c r="C286" t="s">
        <v>19</v>
      </c>
      <c r="D286" t="s">
        <v>52</v>
      </c>
      <c r="E286" t="s">
        <v>97</v>
      </c>
      <c r="F286" t="s">
        <v>62</v>
      </c>
      <c r="G286" t="s">
        <v>81</v>
      </c>
      <c r="H286" t="s">
        <v>73</v>
      </c>
      <c r="I286" t="s">
        <v>83</v>
      </c>
      <c r="J286" t="s">
        <v>48</v>
      </c>
      <c r="K286" s="6">
        <f t="shared" si="9"/>
        <v>1.1000000000000001</v>
      </c>
      <c r="L286" t="s">
        <v>64</v>
      </c>
      <c r="M286">
        <f t="shared" si="8"/>
        <v>7</v>
      </c>
      <c r="N286" t="s">
        <v>27</v>
      </c>
      <c r="O286" t="s">
        <v>103</v>
      </c>
      <c r="P286" s="2">
        <v>1235</v>
      </c>
      <c r="Q286" t="s">
        <v>74</v>
      </c>
      <c r="R286" t="s">
        <v>42</v>
      </c>
      <c r="S286" t="s">
        <v>50</v>
      </c>
      <c r="T286" t="s">
        <v>59</v>
      </c>
    </row>
    <row r="287" spans="1:20" x14ac:dyDescent="0.25">
      <c r="A287" s="2">
        <v>286</v>
      </c>
      <c r="B287" s="2">
        <v>77420</v>
      </c>
      <c r="C287" t="s">
        <v>60</v>
      </c>
      <c r="D287" t="s">
        <v>66</v>
      </c>
      <c r="E287" t="s">
        <v>53</v>
      </c>
      <c r="F287" t="s">
        <v>54</v>
      </c>
      <c r="G287" t="s">
        <v>78</v>
      </c>
      <c r="H287" t="s">
        <v>23</v>
      </c>
      <c r="I287" t="s">
        <v>94</v>
      </c>
      <c r="J287" t="s">
        <v>57</v>
      </c>
      <c r="K287" s="6">
        <f t="shared" si="9"/>
        <v>0.75</v>
      </c>
      <c r="L287" t="s">
        <v>64</v>
      </c>
      <c r="M287">
        <f t="shared" si="8"/>
        <v>7</v>
      </c>
      <c r="N287" t="s">
        <v>40</v>
      </c>
      <c r="O287" t="s">
        <v>82</v>
      </c>
      <c r="P287" s="2">
        <v>689</v>
      </c>
      <c r="Q287" t="s">
        <v>104</v>
      </c>
      <c r="R287" t="s">
        <v>42</v>
      </c>
      <c r="S287" t="s">
        <v>31</v>
      </c>
      <c r="T287" t="s">
        <v>59</v>
      </c>
    </row>
    <row r="288" spans="1:20" x14ac:dyDescent="0.25">
      <c r="A288" s="2">
        <v>287</v>
      </c>
      <c r="B288" s="2">
        <v>71020</v>
      </c>
      <c r="C288" t="s">
        <v>60</v>
      </c>
      <c r="D288" t="s">
        <v>66</v>
      </c>
      <c r="E288" t="s">
        <v>20</v>
      </c>
      <c r="F288" t="s">
        <v>21</v>
      </c>
      <c r="G288" t="s">
        <v>63</v>
      </c>
      <c r="H288" t="s">
        <v>46</v>
      </c>
      <c r="I288" t="s">
        <v>67</v>
      </c>
      <c r="J288" t="s">
        <v>86</v>
      </c>
      <c r="K288" s="6">
        <f t="shared" si="9"/>
        <v>2.2000000000000002</v>
      </c>
      <c r="L288" t="s">
        <v>64</v>
      </c>
      <c r="M288">
        <f t="shared" si="8"/>
        <v>7</v>
      </c>
      <c r="N288" t="s">
        <v>40</v>
      </c>
      <c r="O288" t="s">
        <v>103</v>
      </c>
      <c r="P288" s="2">
        <v>502</v>
      </c>
      <c r="Q288" t="s">
        <v>104</v>
      </c>
      <c r="R288" t="s">
        <v>30</v>
      </c>
      <c r="S288" t="s">
        <v>69</v>
      </c>
      <c r="T288" t="s">
        <v>32</v>
      </c>
    </row>
    <row r="289" spans="1:20" x14ac:dyDescent="0.25">
      <c r="A289" s="2">
        <v>288</v>
      </c>
      <c r="B289" s="2">
        <v>58294</v>
      </c>
      <c r="C289" t="s">
        <v>51</v>
      </c>
      <c r="D289" t="s">
        <v>66</v>
      </c>
      <c r="E289" t="s">
        <v>76</v>
      </c>
      <c r="F289" t="s">
        <v>77</v>
      </c>
      <c r="G289" t="s">
        <v>63</v>
      </c>
      <c r="H289" t="s">
        <v>46</v>
      </c>
      <c r="I289" t="s">
        <v>38</v>
      </c>
      <c r="J289" t="s">
        <v>39</v>
      </c>
      <c r="K289" s="6">
        <f t="shared" si="9"/>
        <v>0.5</v>
      </c>
      <c r="L289" t="s">
        <v>26</v>
      </c>
      <c r="M289">
        <f t="shared" si="8"/>
        <v>1</v>
      </c>
      <c r="N289" t="s">
        <v>27</v>
      </c>
      <c r="O289" t="s">
        <v>102</v>
      </c>
      <c r="P289" s="2">
        <v>343</v>
      </c>
      <c r="Q289" t="s">
        <v>104</v>
      </c>
      <c r="R289" t="s">
        <v>68</v>
      </c>
      <c r="S289" t="s">
        <v>50</v>
      </c>
      <c r="T289" t="s">
        <v>43</v>
      </c>
    </row>
    <row r="290" spans="1:20" x14ac:dyDescent="0.25">
      <c r="A290" s="2">
        <v>289</v>
      </c>
      <c r="B290" s="2">
        <v>48483</v>
      </c>
      <c r="C290" t="s">
        <v>33</v>
      </c>
      <c r="D290" t="s">
        <v>66</v>
      </c>
      <c r="E290" t="s">
        <v>95</v>
      </c>
      <c r="F290" t="s">
        <v>21</v>
      </c>
      <c r="G290" t="s">
        <v>92</v>
      </c>
      <c r="H290" t="s">
        <v>23</v>
      </c>
      <c r="I290" t="s">
        <v>47</v>
      </c>
      <c r="J290" t="s">
        <v>48</v>
      </c>
      <c r="K290" s="6">
        <f t="shared" si="9"/>
        <v>1.25</v>
      </c>
      <c r="L290" t="s">
        <v>64</v>
      </c>
      <c r="M290">
        <f t="shared" si="8"/>
        <v>7</v>
      </c>
      <c r="N290" t="s">
        <v>104</v>
      </c>
      <c r="O290" t="s">
        <v>103</v>
      </c>
      <c r="P290" s="2">
        <v>454</v>
      </c>
      <c r="Q290" t="s">
        <v>104</v>
      </c>
      <c r="R290" t="s">
        <v>42</v>
      </c>
      <c r="S290" t="s">
        <v>50</v>
      </c>
      <c r="T290" t="s">
        <v>43</v>
      </c>
    </row>
    <row r="291" spans="1:20" x14ac:dyDescent="0.25">
      <c r="A291" s="2">
        <v>290</v>
      </c>
      <c r="B291" s="2">
        <v>69438</v>
      </c>
      <c r="C291" t="s">
        <v>33</v>
      </c>
      <c r="D291" t="s">
        <v>66</v>
      </c>
      <c r="E291" t="s">
        <v>89</v>
      </c>
      <c r="F291" t="s">
        <v>90</v>
      </c>
      <c r="G291" t="s">
        <v>36</v>
      </c>
      <c r="H291" t="s">
        <v>73</v>
      </c>
      <c r="I291" t="s">
        <v>91</v>
      </c>
      <c r="J291" t="s">
        <v>57</v>
      </c>
      <c r="K291" s="6">
        <f t="shared" si="9"/>
        <v>0.55000000000000004</v>
      </c>
      <c r="L291" t="s">
        <v>64</v>
      </c>
      <c r="M291">
        <f t="shared" si="8"/>
        <v>7</v>
      </c>
      <c r="N291" t="s">
        <v>27</v>
      </c>
      <c r="O291" t="s">
        <v>103</v>
      </c>
      <c r="P291" s="2">
        <v>1108</v>
      </c>
      <c r="Q291" t="s">
        <v>104</v>
      </c>
      <c r="R291" t="s">
        <v>68</v>
      </c>
      <c r="S291" t="s">
        <v>31</v>
      </c>
      <c r="T291" t="s">
        <v>59</v>
      </c>
    </row>
    <row r="292" spans="1:20" x14ac:dyDescent="0.25">
      <c r="A292" s="2">
        <v>291</v>
      </c>
      <c r="B292" s="2">
        <v>63860</v>
      </c>
      <c r="C292" t="s">
        <v>33</v>
      </c>
      <c r="D292" t="s">
        <v>52</v>
      </c>
      <c r="E292" t="s">
        <v>53</v>
      </c>
      <c r="F292" t="s">
        <v>54</v>
      </c>
      <c r="G292" t="s">
        <v>22</v>
      </c>
      <c r="H292" t="s">
        <v>46</v>
      </c>
      <c r="I292" t="s">
        <v>47</v>
      </c>
      <c r="J292" t="s">
        <v>48</v>
      </c>
      <c r="K292" s="6">
        <f t="shared" si="9"/>
        <v>1.25</v>
      </c>
      <c r="L292" t="s">
        <v>64</v>
      </c>
      <c r="M292">
        <f t="shared" si="8"/>
        <v>7</v>
      </c>
      <c r="N292" t="s">
        <v>104</v>
      </c>
      <c r="O292" t="s">
        <v>65</v>
      </c>
      <c r="P292" s="2">
        <v>464</v>
      </c>
      <c r="Q292" t="s">
        <v>29</v>
      </c>
      <c r="R292" t="s">
        <v>42</v>
      </c>
      <c r="S292" t="s">
        <v>50</v>
      </c>
      <c r="T292" t="s">
        <v>59</v>
      </c>
    </row>
    <row r="293" spans="1:20" x14ac:dyDescent="0.25">
      <c r="A293" s="2">
        <v>292</v>
      </c>
      <c r="B293" s="2">
        <v>31798</v>
      </c>
      <c r="C293" t="s">
        <v>51</v>
      </c>
      <c r="D293" t="s">
        <v>52</v>
      </c>
      <c r="E293" t="s">
        <v>99</v>
      </c>
      <c r="F293" t="s">
        <v>100</v>
      </c>
      <c r="G293" t="s">
        <v>98</v>
      </c>
      <c r="H293" t="s">
        <v>71</v>
      </c>
      <c r="I293" t="s">
        <v>56</v>
      </c>
      <c r="J293" t="s">
        <v>25</v>
      </c>
      <c r="K293" s="6">
        <f t="shared" si="9"/>
        <v>2.2000000000000002</v>
      </c>
      <c r="L293" t="s">
        <v>64</v>
      </c>
      <c r="M293">
        <f t="shared" si="8"/>
        <v>7</v>
      </c>
      <c r="N293" t="s">
        <v>27</v>
      </c>
      <c r="O293" t="s">
        <v>72</v>
      </c>
      <c r="P293" s="2">
        <v>389</v>
      </c>
      <c r="Q293" t="s">
        <v>74</v>
      </c>
      <c r="R293" t="s">
        <v>75</v>
      </c>
      <c r="S293" t="s">
        <v>50</v>
      </c>
      <c r="T293" t="s">
        <v>32</v>
      </c>
    </row>
    <row r="294" spans="1:20" x14ac:dyDescent="0.25">
      <c r="A294" s="2">
        <v>293</v>
      </c>
      <c r="B294" s="2">
        <v>10455</v>
      </c>
      <c r="C294" t="s">
        <v>60</v>
      </c>
      <c r="D294" t="s">
        <v>52</v>
      </c>
      <c r="E294" t="s">
        <v>95</v>
      </c>
      <c r="F294" t="s">
        <v>21</v>
      </c>
      <c r="G294" t="s">
        <v>70</v>
      </c>
      <c r="H294" t="s">
        <v>73</v>
      </c>
      <c r="I294" t="s">
        <v>56</v>
      </c>
      <c r="J294" t="s">
        <v>39</v>
      </c>
      <c r="K294" s="6">
        <f t="shared" si="9"/>
        <v>2.2000000000000002</v>
      </c>
      <c r="L294" t="s">
        <v>64</v>
      </c>
      <c r="M294">
        <f t="shared" si="8"/>
        <v>7</v>
      </c>
      <c r="N294" t="s">
        <v>104</v>
      </c>
      <c r="O294" t="s">
        <v>28</v>
      </c>
      <c r="P294" s="2">
        <v>1041</v>
      </c>
      <c r="Q294" t="s">
        <v>104</v>
      </c>
      <c r="R294" t="s">
        <v>30</v>
      </c>
      <c r="S294" t="s">
        <v>58</v>
      </c>
      <c r="T294" t="s">
        <v>43</v>
      </c>
    </row>
    <row r="295" spans="1:20" x14ac:dyDescent="0.25">
      <c r="A295" s="2">
        <v>294</v>
      </c>
      <c r="B295" s="2">
        <v>10122</v>
      </c>
      <c r="C295" t="s">
        <v>60</v>
      </c>
      <c r="D295" t="s">
        <v>52</v>
      </c>
      <c r="E295" t="s">
        <v>44</v>
      </c>
      <c r="F295" t="s">
        <v>44</v>
      </c>
      <c r="G295" t="s">
        <v>78</v>
      </c>
      <c r="H295" t="s">
        <v>46</v>
      </c>
      <c r="I295" t="s">
        <v>67</v>
      </c>
      <c r="J295" t="s">
        <v>57</v>
      </c>
      <c r="K295" s="6">
        <f t="shared" si="9"/>
        <v>0.55000000000000004</v>
      </c>
      <c r="L295" t="s">
        <v>64</v>
      </c>
      <c r="M295">
        <f t="shared" si="8"/>
        <v>7</v>
      </c>
      <c r="N295" t="s">
        <v>40</v>
      </c>
      <c r="O295" t="s">
        <v>102</v>
      </c>
      <c r="P295" s="2">
        <v>448</v>
      </c>
      <c r="Q295" t="s">
        <v>74</v>
      </c>
      <c r="R295" t="s">
        <v>68</v>
      </c>
      <c r="S295" t="s">
        <v>31</v>
      </c>
      <c r="T295" t="s">
        <v>43</v>
      </c>
    </row>
    <row r="296" spans="1:20" x14ac:dyDescent="0.25">
      <c r="A296" s="2">
        <v>295</v>
      </c>
      <c r="B296" s="2">
        <v>45146</v>
      </c>
      <c r="C296" t="s">
        <v>33</v>
      </c>
      <c r="D296" t="s">
        <v>66</v>
      </c>
      <c r="E296" t="s">
        <v>76</v>
      </c>
      <c r="F296" t="s">
        <v>77</v>
      </c>
      <c r="G296" t="s">
        <v>81</v>
      </c>
      <c r="H296" t="s">
        <v>23</v>
      </c>
      <c r="I296" t="s">
        <v>47</v>
      </c>
      <c r="J296" t="s">
        <v>48</v>
      </c>
      <c r="K296" s="6">
        <f t="shared" si="9"/>
        <v>1.25</v>
      </c>
      <c r="L296" t="s">
        <v>26</v>
      </c>
      <c r="M296">
        <f t="shared" si="8"/>
        <v>1</v>
      </c>
      <c r="N296" t="s">
        <v>27</v>
      </c>
      <c r="O296" t="s">
        <v>103</v>
      </c>
      <c r="P296" s="2">
        <v>559</v>
      </c>
      <c r="Q296" t="s">
        <v>41</v>
      </c>
      <c r="R296" t="s">
        <v>42</v>
      </c>
      <c r="S296" t="s">
        <v>69</v>
      </c>
      <c r="T296" t="s">
        <v>43</v>
      </c>
    </row>
    <row r="297" spans="1:20" x14ac:dyDescent="0.25">
      <c r="A297" s="2">
        <v>296</v>
      </c>
      <c r="B297" s="2">
        <v>53162</v>
      </c>
      <c r="C297" t="s">
        <v>51</v>
      </c>
      <c r="D297" t="s">
        <v>66</v>
      </c>
      <c r="E297" t="s">
        <v>95</v>
      </c>
      <c r="F297" t="s">
        <v>21</v>
      </c>
      <c r="G297" t="s">
        <v>70</v>
      </c>
      <c r="H297" t="s">
        <v>46</v>
      </c>
      <c r="I297" t="s">
        <v>24</v>
      </c>
      <c r="J297" t="s">
        <v>25</v>
      </c>
      <c r="K297" s="6">
        <f t="shared" si="9"/>
        <v>2.4</v>
      </c>
      <c r="L297" t="s">
        <v>64</v>
      </c>
      <c r="M297">
        <f t="shared" si="8"/>
        <v>7</v>
      </c>
      <c r="N297" t="s">
        <v>27</v>
      </c>
      <c r="O297" t="s">
        <v>103</v>
      </c>
      <c r="P297" s="2">
        <v>349</v>
      </c>
      <c r="Q297" t="s">
        <v>104</v>
      </c>
      <c r="R297" t="s">
        <v>30</v>
      </c>
      <c r="S297" t="s">
        <v>58</v>
      </c>
      <c r="T297" t="s">
        <v>43</v>
      </c>
    </row>
    <row r="298" spans="1:20" x14ac:dyDescent="0.25">
      <c r="A298" s="2">
        <v>297</v>
      </c>
      <c r="B298" s="2">
        <v>37502</v>
      </c>
      <c r="C298" t="s">
        <v>33</v>
      </c>
      <c r="D298" t="s">
        <v>66</v>
      </c>
      <c r="E298" t="s">
        <v>53</v>
      </c>
      <c r="F298" t="s">
        <v>54</v>
      </c>
      <c r="G298" t="s">
        <v>81</v>
      </c>
      <c r="H298" t="s">
        <v>23</v>
      </c>
      <c r="I298" t="s">
        <v>38</v>
      </c>
      <c r="J298" t="s">
        <v>57</v>
      </c>
      <c r="K298" s="6">
        <f t="shared" si="9"/>
        <v>0.5</v>
      </c>
      <c r="L298" t="s">
        <v>26</v>
      </c>
      <c r="M298">
        <f t="shared" si="8"/>
        <v>1</v>
      </c>
      <c r="N298" t="s">
        <v>27</v>
      </c>
      <c r="O298" t="s">
        <v>28</v>
      </c>
      <c r="P298" s="2">
        <v>809</v>
      </c>
      <c r="Q298" t="s">
        <v>29</v>
      </c>
      <c r="R298" t="s">
        <v>68</v>
      </c>
      <c r="S298" t="s">
        <v>50</v>
      </c>
      <c r="T298" t="s">
        <v>59</v>
      </c>
    </row>
    <row r="299" spans="1:20" x14ac:dyDescent="0.25">
      <c r="A299" s="2">
        <v>298</v>
      </c>
      <c r="B299" s="2">
        <v>48436</v>
      </c>
      <c r="C299" t="s">
        <v>19</v>
      </c>
      <c r="D299" t="s">
        <v>66</v>
      </c>
      <c r="E299" t="s">
        <v>93</v>
      </c>
      <c r="F299" t="s">
        <v>62</v>
      </c>
      <c r="G299" t="s">
        <v>98</v>
      </c>
      <c r="H299" t="s">
        <v>73</v>
      </c>
      <c r="I299" t="s">
        <v>67</v>
      </c>
      <c r="J299" t="s">
        <v>86</v>
      </c>
      <c r="K299" s="6">
        <f t="shared" si="9"/>
        <v>2.2000000000000002</v>
      </c>
      <c r="L299" t="s">
        <v>64</v>
      </c>
      <c r="M299">
        <f t="shared" si="8"/>
        <v>7</v>
      </c>
      <c r="N299" t="s">
        <v>27</v>
      </c>
      <c r="O299" t="s">
        <v>65</v>
      </c>
      <c r="P299" s="2">
        <v>1366</v>
      </c>
      <c r="Q299" t="s">
        <v>41</v>
      </c>
      <c r="R299" t="s">
        <v>30</v>
      </c>
      <c r="S299" t="s">
        <v>31</v>
      </c>
      <c r="T299" t="s">
        <v>43</v>
      </c>
    </row>
    <row r="300" spans="1:20" x14ac:dyDescent="0.25">
      <c r="A300" s="2">
        <v>299</v>
      </c>
      <c r="B300" s="2">
        <v>84204</v>
      </c>
      <c r="C300" t="s">
        <v>60</v>
      </c>
      <c r="D300" t="s">
        <v>66</v>
      </c>
      <c r="E300" t="s">
        <v>84</v>
      </c>
      <c r="F300" t="s">
        <v>85</v>
      </c>
      <c r="G300" t="s">
        <v>98</v>
      </c>
      <c r="H300" t="s">
        <v>71</v>
      </c>
      <c r="I300" t="s">
        <v>24</v>
      </c>
      <c r="J300" t="s">
        <v>57</v>
      </c>
      <c r="K300" s="6">
        <f t="shared" si="9"/>
        <v>1.2</v>
      </c>
      <c r="L300" t="s">
        <v>64</v>
      </c>
      <c r="M300">
        <f t="shared" si="8"/>
        <v>7</v>
      </c>
      <c r="N300" t="s">
        <v>104</v>
      </c>
      <c r="O300" t="s">
        <v>28</v>
      </c>
      <c r="P300" s="2">
        <v>282</v>
      </c>
      <c r="Q300" t="s">
        <v>104</v>
      </c>
      <c r="R300" t="s">
        <v>42</v>
      </c>
      <c r="S300" t="s">
        <v>50</v>
      </c>
      <c r="T300" t="s">
        <v>32</v>
      </c>
    </row>
    <row r="301" spans="1:20" x14ac:dyDescent="0.25">
      <c r="A301" s="2">
        <v>300</v>
      </c>
      <c r="B301" s="2">
        <v>20367</v>
      </c>
      <c r="C301" t="s">
        <v>33</v>
      </c>
      <c r="D301" t="s">
        <v>66</v>
      </c>
      <c r="E301" t="s">
        <v>93</v>
      </c>
      <c r="F301" t="s">
        <v>62</v>
      </c>
      <c r="G301" t="s">
        <v>55</v>
      </c>
      <c r="H301" t="s">
        <v>73</v>
      </c>
      <c r="I301" t="s">
        <v>47</v>
      </c>
      <c r="J301" t="s">
        <v>25</v>
      </c>
      <c r="K301" s="6">
        <f t="shared" si="9"/>
        <v>0.625</v>
      </c>
      <c r="L301" t="s">
        <v>64</v>
      </c>
      <c r="M301">
        <f t="shared" si="8"/>
        <v>7</v>
      </c>
      <c r="N301" t="s">
        <v>104</v>
      </c>
      <c r="O301" t="s">
        <v>72</v>
      </c>
      <c r="P301" s="2">
        <v>1181</v>
      </c>
      <c r="Q301" t="s">
        <v>29</v>
      </c>
      <c r="R301" t="s">
        <v>68</v>
      </c>
      <c r="S301" t="s">
        <v>69</v>
      </c>
      <c r="T301" t="s">
        <v>43</v>
      </c>
    </row>
    <row r="302" spans="1:20" x14ac:dyDescent="0.25">
      <c r="A302" s="2">
        <v>301</v>
      </c>
      <c r="B302" s="2">
        <v>12690</v>
      </c>
      <c r="C302" t="s">
        <v>19</v>
      </c>
      <c r="D302" t="s">
        <v>66</v>
      </c>
      <c r="E302" t="s">
        <v>95</v>
      </c>
      <c r="F302" t="s">
        <v>21</v>
      </c>
      <c r="G302" t="s">
        <v>98</v>
      </c>
      <c r="H302" t="s">
        <v>23</v>
      </c>
      <c r="I302" t="s">
        <v>24</v>
      </c>
      <c r="J302" t="s">
        <v>25</v>
      </c>
      <c r="K302" s="6">
        <f t="shared" si="9"/>
        <v>0.6</v>
      </c>
      <c r="L302" t="s">
        <v>64</v>
      </c>
      <c r="M302">
        <f t="shared" si="8"/>
        <v>7</v>
      </c>
      <c r="N302" t="s">
        <v>40</v>
      </c>
      <c r="O302" t="s">
        <v>103</v>
      </c>
      <c r="P302" s="2">
        <v>635</v>
      </c>
      <c r="Q302" t="s">
        <v>104</v>
      </c>
      <c r="R302" t="s">
        <v>68</v>
      </c>
      <c r="S302" t="s">
        <v>69</v>
      </c>
      <c r="T302" t="s">
        <v>43</v>
      </c>
    </row>
    <row r="303" spans="1:20" x14ac:dyDescent="0.25">
      <c r="A303" s="2">
        <v>302</v>
      </c>
      <c r="B303" s="2">
        <v>33209</v>
      </c>
      <c r="C303" t="s">
        <v>19</v>
      </c>
      <c r="D303" t="s">
        <v>66</v>
      </c>
      <c r="E303" t="s">
        <v>34</v>
      </c>
      <c r="F303" t="s">
        <v>35</v>
      </c>
      <c r="G303" t="s">
        <v>45</v>
      </c>
      <c r="H303" t="s">
        <v>46</v>
      </c>
      <c r="I303" t="s">
        <v>56</v>
      </c>
      <c r="J303" t="s">
        <v>57</v>
      </c>
      <c r="K303" s="6">
        <f t="shared" si="9"/>
        <v>2.2000000000000002</v>
      </c>
      <c r="L303" t="s">
        <v>49</v>
      </c>
      <c r="M303">
        <f t="shared" si="8"/>
        <v>3</v>
      </c>
      <c r="N303" t="s">
        <v>27</v>
      </c>
      <c r="O303" t="s">
        <v>28</v>
      </c>
      <c r="P303" s="2">
        <v>301</v>
      </c>
      <c r="Q303" t="s">
        <v>74</v>
      </c>
      <c r="R303" t="s">
        <v>30</v>
      </c>
      <c r="S303" t="s">
        <v>50</v>
      </c>
      <c r="T303" t="s">
        <v>43</v>
      </c>
    </row>
    <row r="304" spans="1:20" x14ac:dyDescent="0.25">
      <c r="A304" s="2">
        <v>303</v>
      </c>
      <c r="B304" s="2">
        <v>16421</v>
      </c>
      <c r="C304" t="s">
        <v>33</v>
      </c>
      <c r="D304" t="s">
        <v>66</v>
      </c>
      <c r="E304" t="s">
        <v>61</v>
      </c>
      <c r="F304" t="s">
        <v>62</v>
      </c>
      <c r="G304" t="s">
        <v>55</v>
      </c>
      <c r="H304" t="s">
        <v>46</v>
      </c>
      <c r="I304" t="s">
        <v>56</v>
      </c>
      <c r="J304" t="s">
        <v>48</v>
      </c>
      <c r="K304" s="6">
        <f t="shared" si="9"/>
        <v>0.55000000000000004</v>
      </c>
      <c r="L304" t="s">
        <v>26</v>
      </c>
      <c r="M304">
        <f t="shared" si="8"/>
        <v>1</v>
      </c>
      <c r="N304" t="s">
        <v>27</v>
      </c>
      <c r="O304" t="s">
        <v>103</v>
      </c>
      <c r="P304" s="2">
        <v>344</v>
      </c>
      <c r="Q304" t="s">
        <v>41</v>
      </c>
      <c r="R304" t="s">
        <v>68</v>
      </c>
      <c r="S304" t="s">
        <v>69</v>
      </c>
      <c r="T304" t="s">
        <v>59</v>
      </c>
    </row>
    <row r="305" spans="1:20" x14ac:dyDescent="0.25">
      <c r="A305" s="2">
        <v>304</v>
      </c>
      <c r="B305" s="2">
        <v>31507</v>
      </c>
      <c r="C305" t="s">
        <v>19</v>
      </c>
      <c r="D305" t="s">
        <v>52</v>
      </c>
      <c r="E305" t="s">
        <v>53</v>
      </c>
      <c r="F305" t="s">
        <v>54</v>
      </c>
      <c r="G305" t="s">
        <v>78</v>
      </c>
      <c r="H305" t="s">
        <v>46</v>
      </c>
      <c r="I305" t="s">
        <v>83</v>
      </c>
      <c r="J305" t="s">
        <v>57</v>
      </c>
      <c r="K305" s="6">
        <f t="shared" si="9"/>
        <v>2.2000000000000002</v>
      </c>
      <c r="L305" t="s">
        <v>64</v>
      </c>
      <c r="M305">
        <f t="shared" si="8"/>
        <v>7</v>
      </c>
      <c r="N305" t="s">
        <v>40</v>
      </c>
      <c r="O305" t="s">
        <v>102</v>
      </c>
      <c r="P305" s="2">
        <v>293</v>
      </c>
      <c r="Q305" t="s">
        <v>41</v>
      </c>
      <c r="R305" t="s">
        <v>30</v>
      </c>
      <c r="S305" t="s">
        <v>69</v>
      </c>
      <c r="T305" t="s">
        <v>59</v>
      </c>
    </row>
    <row r="306" spans="1:20" x14ac:dyDescent="0.25">
      <c r="A306" s="2">
        <v>305</v>
      </c>
      <c r="B306" s="2">
        <v>96902</v>
      </c>
      <c r="C306" t="s">
        <v>33</v>
      </c>
      <c r="D306" t="s">
        <v>66</v>
      </c>
      <c r="E306" t="s">
        <v>87</v>
      </c>
      <c r="F306" t="s">
        <v>88</v>
      </c>
      <c r="G306" t="s">
        <v>98</v>
      </c>
      <c r="H306" t="s">
        <v>46</v>
      </c>
      <c r="I306" t="s">
        <v>47</v>
      </c>
      <c r="J306" t="s">
        <v>86</v>
      </c>
      <c r="K306" s="6">
        <f t="shared" si="9"/>
        <v>0.625</v>
      </c>
      <c r="L306" t="s">
        <v>64</v>
      </c>
      <c r="M306">
        <f t="shared" si="8"/>
        <v>7</v>
      </c>
      <c r="N306" t="s">
        <v>40</v>
      </c>
      <c r="O306" t="s">
        <v>103</v>
      </c>
      <c r="P306" s="2">
        <v>500</v>
      </c>
      <c r="Q306" t="s">
        <v>29</v>
      </c>
      <c r="R306" t="s">
        <v>68</v>
      </c>
      <c r="S306" t="s">
        <v>31</v>
      </c>
      <c r="T306" t="s">
        <v>59</v>
      </c>
    </row>
    <row r="307" spans="1:20" x14ac:dyDescent="0.25">
      <c r="A307" s="2">
        <v>306</v>
      </c>
      <c r="B307" s="2">
        <v>91471</v>
      </c>
      <c r="C307" t="s">
        <v>96</v>
      </c>
      <c r="D307" t="s">
        <v>52</v>
      </c>
      <c r="E307" t="s">
        <v>95</v>
      </c>
      <c r="F307" t="s">
        <v>21</v>
      </c>
      <c r="G307" t="s">
        <v>98</v>
      </c>
      <c r="H307" t="s">
        <v>46</v>
      </c>
      <c r="I307" t="s">
        <v>24</v>
      </c>
      <c r="J307" t="s">
        <v>39</v>
      </c>
      <c r="K307" s="6">
        <f t="shared" si="9"/>
        <v>0.6</v>
      </c>
      <c r="L307" t="s">
        <v>64</v>
      </c>
      <c r="M307">
        <f t="shared" si="8"/>
        <v>7</v>
      </c>
      <c r="N307" t="s">
        <v>27</v>
      </c>
      <c r="O307" t="s">
        <v>28</v>
      </c>
      <c r="P307" s="2">
        <v>540</v>
      </c>
      <c r="Q307" t="s">
        <v>41</v>
      </c>
      <c r="R307" t="s">
        <v>68</v>
      </c>
      <c r="S307" t="s">
        <v>58</v>
      </c>
      <c r="T307" t="s">
        <v>43</v>
      </c>
    </row>
    <row r="308" spans="1:20" x14ac:dyDescent="0.25">
      <c r="A308" s="2">
        <v>307</v>
      </c>
      <c r="B308" s="2">
        <v>97833</v>
      </c>
      <c r="C308" t="s">
        <v>51</v>
      </c>
      <c r="D308" t="s">
        <v>52</v>
      </c>
      <c r="E308" t="s">
        <v>76</v>
      </c>
      <c r="F308" t="s">
        <v>77</v>
      </c>
      <c r="G308" t="s">
        <v>92</v>
      </c>
      <c r="H308" t="s">
        <v>71</v>
      </c>
      <c r="I308" t="s">
        <v>56</v>
      </c>
      <c r="J308" t="s">
        <v>57</v>
      </c>
      <c r="K308" s="6">
        <f t="shared" si="9"/>
        <v>2.2000000000000002</v>
      </c>
      <c r="L308" t="s">
        <v>64</v>
      </c>
      <c r="M308">
        <f t="shared" si="8"/>
        <v>7</v>
      </c>
      <c r="N308" t="s">
        <v>104</v>
      </c>
      <c r="O308" t="s">
        <v>102</v>
      </c>
      <c r="P308" s="2">
        <v>387</v>
      </c>
      <c r="Q308" t="s">
        <v>41</v>
      </c>
      <c r="R308" t="s">
        <v>75</v>
      </c>
      <c r="S308" t="s">
        <v>50</v>
      </c>
      <c r="T308" t="s">
        <v>43</v>
      </c>
    </row>
    <row r="309" spans="1:20" x14ac:dyDescent="0.25">
      <c r="A309" s="2">
        <v>308</v>
      </c>
      <c r="B309" s="2">
        <v>13454</v>
      </c>
      <c r="C309" t="s">
        <v>51</v>
      </c>
      <c r="D309" t="s">
        <v>52</v>
      </c>
      <c r="E309" t="s">
        <v>101</v>
      </c>
      <c r="F309" t="s">
        <v>80</v>
      </c>
      <c r="G309" t="s">
        <v>78</v>
      </c>
      <c r="H309" t="s">
        <v>73</v>
      </c>
      <c r="I309" t="s">
        <v>24</v>
      </c>
      <c r="J309" t="s">
        <v>25</v>
      </c>
      <c r="K309" s="6">
        <f t="shared" si="9"/>
        <v>2.4</v>
      </c>
      <c r="L309" t="s">
        <v>64</v>
      </c>
      <c r="M309">
        <f t="shared" si="8"/>
        <v>7</v>
      </c>
      <c r="N309" t="s">
        <v>40</v>
      </c>
      <c r="O309" t="s">
        <v>103</v>
      </c>
      <c r="P309" s="2">
        <v>1369</v>
      </c>
      <c r="Q309" t="s">
        <v>41</v>
      </c>
      <c r="R309" t="s">
        <v>75</v>
      </c>
      <c r="S309" t="s">
        <v>69</v>
      </c>
      <c r="T309" t="s">
        <v>32</v>
      </c>
    </row>
    <row r="310" spans="1:20" x14ac:dyDescent="0.25">
      <c r="A310" s="2">
        <v>309</v>
      </c>
      <c r="B310" s="2">
        <v>43786</v>
      </c>
      <c r="C310" t="s">
        <v>19</v>
      </c>
      <c r="D310" t="s">
        <v>66</v>
      </c>
      <c r="E310" t="s">
        <v>79</v>
      </c>
      <c r="F310" t="s">
        <v>80</v>
      </c>
      <c r="G310" t="s">
        <v>22</v>
      </c>
      <c r="H310" t="s">
        <v>46</v>
      </c>
      <c r="I310" t="s">
        <v>56</v>
      </c>
      <c r="J310" t="s">
        <v>57</v>
      </c>
      <c r="K310" s="6">
        <f t="shared" si="9"/>
        <v>1.1000000000000001</v>
      </c>
      <c r="L310" t="s">
        <v>26</v>
      </c>
      <c r="M310">
        <f t="shared" si="8"/>
        <v>1</v>
      </c>
      <c r="N310" t="s">
        <v>104</v>
      </c>
      <c r="O310" t="s">
        <v>103</v>
      </c>
      <c r="P310" s="2">
        <v>360</v>
      </c>
      <c r="Q310" t="s">
        <v>41</v>
      </c>
      <c r="R310" t="s">
        <v>42</v>
      </c>
      <c r="S310" t="s">
        <v>69</v>
      </c>
      <c r="T310" t="s">
        <v>43</v>
      </c>
    </row>
    <row r="311" spans="1:20" x14ac:dyDescent="0.25">
      <c r="A311" s="2">
        <v>310</v>
      </c>
      <c r="B311" s="2">
        <v>10223</v>
      </c>
      <c r="C311" t="s">
        <v>33</v>
      </c>
      <c r="D311" t="s">
        <v>66</v>
      </c>
      <c r="E311" t="s">
        <v>84</v>
      </c>
      <c r="F311" t="s">
        <v>85</v>
      </c>
      <c r="G311" t="s">
        <v>45</v>
      </c>
      <c r="H311" t="s">
        <v>23</v>
      </c>
      <c r="I311" t="s">
        <v>47</v>
      </c>
      <c r="J311" t="s">
        <v>48</v>
      </c>
      <c r="K311" s="6">
        <f t="shared" si="9"/>
        <v>1.25</v>
      </c>
      <c r="L311" t="s">
        <v>26</v>
      </c>
      <c r="M311">
        <f t="shared" si="8"/>
        <v>1</v>
      </c>
      <c r="N311" t="s">
        <v>27</v>
      </c>
      <c r="O311" t="s">
        <v>82</v>
      </c>
      <c r="P311" s="2">
        <v>700</v>
      </c>
      <c r="Q311" t="s">
        <v>41</v>
      </c>
      <c r="R311" t="s">
        <v>42</v>
      </c>
      <c r="S311" t="s">
        <v>50</v>
      </c>
      <c r="T311" t="s">
        <v>32</v>
      </c>
    </row>
    <row r="312" spans="1:20" x14ac:dyDescent="0.25">
      <c r="A312" s="2">
        <v>311</v>
      </c>
      <c r="B312" s="2">
        <v>62645</v>
      </c>
      <c r="C312" t="s">
        <v>60</v>
      </c>
      <c r="D312" t="s">
        <v>52</v>
      </c>
      <c r="E312" t="s">
        <v>95</v>
      </c>
      <c r="F312" t="s">
        <v>21</v>
      </c>
      <c r="G312" t="s">
        <v>81</v>
      </c>
      <c r="H312" t="s">
        <v>23</v>
      </c>
      <c r="I312" t="s">
        <v>24</v>
      </c>
      <c r="J312" t="s">
        <v>25</v>
      </c>
      <c r="K312" s="6">
        <f t="shared" si="9"/>
        <v>0.6</v>
      </c>
      <c r="L312" t="s">
        <v>26</v>
      </c>
      <c r="M312">
        <f t="shared" si="8"/>
        <v>1</v>
      </c>
      <c r="N312" t="s">
        <v>40</v>
      </c>
      <c r="O312" t="s">
        <v>102</v>
      </c>
      <c r="P312" s="2">
        <v>779</v>
      </c>
      <c r="Q312" t="s">
        <v>41</v>
      </c>
      <c r="R312" t="s">
        <v>68</v>
      </c>
      <c r="S312" t="s">
        <v>50</v>
      </c>
      <c r="T312" t="s">
        <v>43</v>
      </c>
    </row>
    <row r="313" spans="1:20" x14ac:dyDescent="0.25">
      <c r="A313" s="2">
        <v>312</v>
      </c>
      <c r="B313" s="2">
        <v>63903</v>
      </c>
      <c r="C313" t="s">
        <v>19</v>
      </c>
      <c r="D313" t="s">
        <v>66</v>
      </c>
      <c r="E313" t="s">
        <v>95</v>
      </c>
      <c r="F313" t="s">
        <v>21</v>
      </c>
      <c r="G313" t="s">
        <v>36</v>
      </c>
      <c r="H313" t="s">
        <v>71</v>
      </c>
      <c r="I313" t="s">
        <v>38</v>
      </c>
      <c r="J313" t="s">
        <v>57</v>
      </c>
      <c r="K313" s="6">
        <f t="shared" si="9"/>
        <v>0.5</v>
      </c>
      <c r="L313" t="s">
        <v>64</v>
      </c>
      <c r="M313">
        <f t="shared" si="8"/>
        <v>7</v>
      </c>
      <c r="N313" t="s">
        <v>104</v>
      </c>
      <c r="O313" t="s">
        <v>72</v>
      </c>
      <c r="P313" s="2">
        <v>186</v>
      </c>
      <c r="Q313" t="s">
        <v>41</v>
      </c>
      <c r="R313" t="s">
        <v>68</v>
      </c>
      <c r="S313" t="s">
        <v>58</v>
      </c>
      <c r="T313" t="s">
        <v>43</v>
      </c>
    </row>
    <row r="314" spans="1:20" x14ac:dyDescent="0.25">
      <c r="A314" s="2">
        <v>313</v>
      </c>
      <c r="B314" s="2">
        <v>45855</v>
      </c>
      <c r="C314" t="s">
        <v>96</v>
      </c>
      <c r="D314" t="s">
        <v>52</v>
      </c>
      <c r="E314" t="s">
        <v>84</v>
      </c>
      <c r="F314" t="s">
        <v>85</v>
      </c>
      <c r="G314" t="s">
        <v>22</v>
      </c>
      <c r="H314" t="s">
        <v>71</v>
      </c>
      <c r="I314" t="s">
        <v>91</v>
      </c>
      <c r="J314" t="s">
        <v>57</v>
      </c>
      <c r="K314" s="6">
        <f t="shared" si="9"/>
        <v>2.2000000000000002</v>
      </c>
      <c r="L314" t="s">
        <v>49</v>
      </c>
      <c r="M314">
        <f t="shared" si="8"/>
        <v>3</v>
      </c>
      <c r="N314" t="s">
        <v>27</v>
      </c>
      <c r="O314" t="s">
        <v>28</v>
      </c>
      <c r="P314" s="2">
        <v>397</v>
      </c>
      <c r="Q314" t="s">
        <v>41</v>
      </c>
      <c r="R314" t="s">
        <v>30</v>
      </c>
      <c r="S314" t="s">
        <v>69</v>
      </c>
      <c r="T314" t="s">
        <v>32</v>
      </c>
    </row>
    <row r="315" spans="1:20" x14ac:dyDescent="0.25">
      <c r="A315" s="2">
        <v>314</v>
      </c>
      <c r="B315" s="2">
        <v>87363</v>
      </c>
      <c r="C315" t="s">
        <v>33</v>
      </c>
      <c r="D315" t="s">
        <v>66</v>
      </c>
      <c r="E315" t="s">
        <v>76</v>
      </c>
      <c r="F315" t="s">
        <v>77</v>
      </c>
      <c r="G315" t="s">
        <v>22</v>
      </c>
      <c r="H315" t="s">
        <v>46</v>
      </c>
      <c r="I315" t="s">
        <v>47</v>
      </c>
      <c r="J315" t="s">
        <v>57</v>
      </c>
      <c r="K315" s="6">
        <f t="shared" si="9"/>
        <v>0.625</v>
      </c>
      <c r="L315" t="s">
        <v>49</v>
      </c>
      <c r="M315">
        <f t="shared" si="8"/>
        <v>3</v>
      </c>
      <c r="N315" t="s">
        <v>27</v>
      </c>
      <c r="O315" t="s">
        <v>103</v>
      </c>
      <c r="P315" s="2">
        <v>443</v>
      </c>
      <c r="Q315" t="s">
        <v>29</v>
      </c>
      <c r="R315" t="s">
        <v>68</v>
      </c>
      <c r="S315" t="s">
        <v>58</v>
      </c>
      <c r="T315" t="s">
        <v>43</v>
      </c>
    </row>
    <row r="316" spans="1:20" x14ac:dyDescent="0.25">
      <c r="A316" s="2">
        <v>315</v>
      </c>
      <c r="B316" s="2">
        <v>83187</v>
      </c>
      <c r="C316" t="s">
        <v>33</v>
      </c>
      <c r="D316" t="s">
        <v>52</v>
      </c>
      <c r="E316" t="s">
        <v>61</v>
      </c>
      <c r="F316" t="s">
        <v>62</v>
      </c>
      <c r="G316" t="s">
        <v>78</v>
      </c>
      <c r="H316" t="s">
        <v>23</v>
      </c>
      <c r="I316" t="s">
        <v>38</v>
      </c>
      <c r="J316" t="s">
        <v>57</v>
      </c>
      <c r="K316" s="6">
        <f t="shared" si="9"/>
        <v>0.5</v>
      </c>
      <c r="L316" t="s">
        <v>26</v>
      </c>
      <c r="M316">
        <f t="shared" si="8"/>
        <v>1</v>
      </c>
      <c r="N316" t="s">
        <v>104</v>
      </c>
      <c r="O316" t="s">
        <v>28</v>
      </c>
      <c r="P316" s="2">
        <v>597</v>
      </c>
      <c r="Q316" t="s">
        <v>41</v>
      </c>
      <c r="R316" t="s">
        <v>68</v>
      </c>
      <c r="S316" t="s">
        <v>69</v>
      </c>
      <c r="T316" t="s">
        <v>59</v>
      </c>
    </row>
    <row r="317" spans="1:20" x14ac:dyDescent="0.25">
      <c r="A317" s="2">
        <v>316</v>
      </c>
      <c r="B317" s="2">
        <v>76366</v>
      </c>
      <c r="C317" t="s">
        <v>19</v>
      </c>
      <c r="D317" t="s">
        <v>52</v>
      </c>
      <c r="E317" t="s">
        <v>84</v>
      </c>
      <c r="F317" t="s">
        <v>85</v>
      </c>
      <c r="G317" t="s">
        <v>45</v>
      </c>
      <c r="H317" t="s">
        <v>46</v>
      </c>
      <c r="I317" t="s">
        <v>94</v>
      </c>
      <c r="J317" t="s">
        <v>39</v>
      </c>
      <c r="K317" s="6">
        <f t="shared" si="9"/>
        <v>1.5</v>
      </c>
      <c r="L317" t="s">
        <v>49</v>
      </c>
      <c r="M317">
        <f t="shared" si="8"/>
        <v>3</v>
      </c>
      <c r="N317" t="s">
        <v>104</v>
      </c>
      <c r="O317" t="s">
        <v>103</v>
      </c>
      <c r="P317" s="2">
        <v>340</v>
      </c>
      <c r="Q317" t="s">
        <v>29</v>
      </c>
      <c r="R317" t="s">
        <v>75</v>
      </c>
      <c r="S317" t="s">
        <v>31</v>
      </c>
      <c r="T317" t="s">
        <v>32</v>
      </c>
    </row>
    <row r="318" spans="1:20" x14ac:dyDescent="0.25">
      <c r="A318" s="2">
        <v>317</v>
      </c>
      <c r="B318" s="2">
        <v>82726</v>
      </c>
      <c r="C318" t="s">
        <v>60</v>
      </c>
      <c r="D318" t="s">
        <v>66</v>
      </c>
      <c r="E318" t="s">
        <v>84</v>
      </c>
      <c r="F318" t="s">
        <v>85</v>
      </c>
      <c r="G318" t="s">
        <v>63</v>
      </c>
      <c r="H318" t="s">
        <v>23</v>
      </c>
      <c r="I318" t="s">
        <v>38</v>
      </c>
      <c r="J318" t="s">
        <v>48</v>
      </c>
      <c r="K318" s="6">
        <f t="shared" si="9"/>
        <v>2</v>
      </c>
      <c r="L318" t="s">
        <v>49</v>
      </c>
      <c r="M318">
        <f t="shared" si="8"/>
        <v>3</v>
      </c>
      <c r="N318" t="s">
        <v>104</v>
      </c>
      <c r="O318" t="s">
        <v>103</v>
      </c>
      <c r="P318" s="2">
        <v>614</v>
      </c>
      <c r="Q318" t="s">
        <v>104</v>
      </c>
      <c r="R318" t="s">
        <v>75</v>
      </c>
      <c r="S318" t="s">
        <v>58</v>
      </c>
      <c r="T318" t="s">
        <v>32</v>
      </c>
    </row>
    <row r="319" spans="1:20" x14ac:dyDescent="0.25">
      <c r="A319" s="2">
        <v>318</v>
      </c>
      <c r="B319" s="2">
        <v>95196</v>
      </c>
      <c r="C319" t="s">
        <v>60</v>
      </c>
      <c r="D319" t="s">
        <v>66</v>
      </c>
      <c r="E319" t="s">
        <v>53</v>
      </c>
      <c r="F319" t="s">
        <v>54</v>
      </c>
      <c r="G319" t="s">
        <v>36</v>
      </c>
      <c r="H319" t="s">
        <v>46</v>
      </c>
      <c r="I319" t="s">
        <v>47</v>
      </c>
      <c r="J319" t="s">
        <v>57</v>
      </c>
      <c r="K319" s="6">
        <f t="shared" si="9"/>
        <v>0.625</v>
      </c>
      <c r="L319" t="s">
        <v>64</v>
      </c>
      <c r="M319">
        <f t="shared" si="8"/>
        <v>7</v>
      </c>
      <c r="N319" t="s">
        <v>40</v>
      </c>
      <c r="O319" t="s">
        <v>28</v>
      </c>
      <c r="P319" s="2">
        <v>491</v>
      </c>
      <c r="Q319" t="s">
        <v>104</v>
      </c>
      <c r="R319" t="s">
        <v>68</v>
      </c>
      <c r="S319" t="s">
        <v>58</v>
      </c>
      <c r="T319" t="s">
        <v>59</v>
      </c>
    </row>
    <row r="320" spans="1:20" x14ac:dyDescent="0.25">
      <c r="A320" s="2">
        <v>319</v>
      </c>
      <c r="B320" s="2">
        <v>73510</v>
      </c>
      <c r="C320" t="s">
        <v>51</v>
      </c>
      <c r="D320" t="s">
        <v>66</v>
      </c>
      <c r="E320" t="s">
        <v>89</v>
      </c>
      <c r="F320" t="s">
        <v>90</v>
      </c>
      <c r="G320" t="s">
        <v>81</v>
      </c>
      <c r="H320" t="s">
        <v>71</v>
      </c>
      <c r="I320" t="s">
        <v>67</v>
      </c>
      <c r="J320" t="s">
        <v>57</v>
      </c>
      <c r="K320" s="6">
        <f t="shared" si="9"/>
        <v>1.1000000000000001</v>
      </c>
      <c r="L320" t="s">
        <v>49</v>
      </c>
      <c r="M320">
        <f t="shared" si="8"/>
        <v>3</v>
      </c>
      <c r="N320" t="s">
        <v>40</v>
      </c>
      <c r="O320" t="s">
        <v>72</v>
      </c>
      <c r="P320" s="2">
        <v>280</v>
      </c>
      <c r="Q320" t="s">
        <v>41</v>
      </c>
      <c r="R320" t="s">
        <v>42</v>
      </c>
      <c r="S320" t="s">
        <v>50</v>
      </c>
      <c r="T320" t="s">
        <v>59</v>
      </c>
    </row>
    <row r="321" spans="1:20" x14ac:dyDescent="0.25">
      <c r="A321" s="2">
        <v>320</v>
      </c>
      <c r="B321" s="2">
        <v>32962</v>
      </c>
      <c r="C321" t="s">
        <v>19</v>
      </c>
      <c r="D321" t="s">
        <v>52</v>
      </c>
      <c r="E321" t="s">
        <v>87</v>
      </c>
      <c r="F321" t="s">
        <v>88</v>
      </c>
      <c r="G321" t="s">
        <v>45</v>
      </c>
      <c r="H321" t="s">
        <v>23</v>
      </c>
      <c r="I321" t="s">
        <v>47</v>
      </c>
      <c r="J321" t="s">
        <v>86</v>
      </c>
      <c r="K321" s="6">
        <f t="shared" si="9"/>
        <v>2.5</v>
      </c>
      <c r="L321" t="s">
        <v>64</v>
      </c>
      <c r="M321">
        <f t="shared" si="8"/>
        <v>7</v>
      </c>
      <c r="N321" t="s">
        <v>27</v>
      </c>
      <c r="O321" t="s">
        <v>103</v>
      </c>
      <c r="P321" s="2">
        <v>482</v>
      </c>
      <c r="Q321" t="s">
        <v>74</v>
      </c>
      <c r="R321" t="s">
        <v>30</v>
      </c>
      <c r="S321" t="s">
        <v>31</v>
      </c>
      <c r="T321" t="s">
        <v>59</v>
      </c>
    </row>
    <row r="322" spans="1:20" x14ac:dyDescent="0.25">
      <c r="A322" s="2">
        <v>321</v>
      </c>
      <c r="B322" s="2">
        <v>44227</v>
      </c>
      <c r="C322" t="s">
        <v>33</v>
      </c>
      <c r="D322" t="s">
        <v>52</v>
      </c>
      <c r="E322" t="s">
        <v>93</v>
      </c>
      <c r="F322" t="s">
        <v>62</v>
      </c>
      <c r="G322" t="s">
        <v>22</v>
      </c>
      <c r="H322" t="s">
        <v>23</v>
      </c>
      <c r="I322" t="s">
        <v>47</v>
      </c>
      <c r="J322" t="s">
        <v>48</v>
      </c>
      <c r="K322" s="6">
        <f t="shared" si="9"/>
        <v>1.25</v>
      </c>
      <c r="L322" t="s">
        <v>64</v>
      </c>
      <c r="M322">
        <f t="shared" ref="M322:M385" si="10">IF(L322="daily",7,IF(L322="weekly",3,1))</f>
        <v>7</v>
      </c>
      <c r="N322" t="s">
        <v>27</v>
      </c>
      <c r="O322" t="s">
        <v>103</v>
      </c>
      <c r="P322" s="2">
        <v>459</v>
      </c>
      <c r="Q322" t="s">
        <v>29</v>
      </c>
      <c r="R322" t="s">
        <v>42</v>
      </c>
      <c r="S322" t="s">
        <v>31</v>
      </c>
      <c r="T322" t="s">
        <v>43</v>
      </c>
    </row>
    <row r="323" spans="1:20" x14ac:dyDescent="0.25">
      <c r="A323" s="2">
        <v>322</v>
      </c>
      <c r="B323" s="2">
        <v>51840</v>
      </c>
      <c r="C323" t="s">
        <v>51</v>
      </c>
      <c r="D323" t="s">
        <v>66</v>
      </c>
      <c r="E323" t="s">
        <v>87</v>
      </c>
      <c r="F323" t="s">
        <v>88</v>
      </c>
      <c r="G323" t="s">
        <v>78</v>
      </c>
      <c r="H323" t="s">
        <v>23</v>
      </c>
      <c r="I323" t="s">
        <v>47</v>
      </c>
      <c r="J323" t="s">
        <v>57</v>
      </c>
      <c r="K323" s="6">
        <f t="shared" ref="K323:K386" si="11">IF(R323="Morning",2,IF(R323="Night",2,IF(R323="Evening",1,0.5)))
*
IF(I323="Espresso",0.75,IF(I323="Cold Brew",1.25,IF(I323="Filter Coffee",1.2,IF(I323="Instant Coffee",1,1.1))))</f>
        <v>0.625</v>
      </c>
      <c r="L323" t="s">
        <v>64</v>
      </c>
      <c r="M323">
        <f t="shared" si="10"/>
        <v>7</v>
      </c>
      <c r="N323" t="s">
        <v>104</v>
      </c>
      <c r="O323" t="s">
        <v>82</v>
      </c>
      <c r="P323" s="2">
        <v>819</v>
      </c>
      <c r="Q323" t="s">
        <v>74</v>
      </c>
      <c r="R323" t="s">
        <v>68</v>
      </c>
      <c r="S323" t="s">
        <v>58</v>
      </c>
      <c r="T323" t="s">
        <v>59</v>
      </c>
    </row>
    <row r="324" spans="1:20" x14ac:dyDescent="0.25">
      <c r="A324" s="2">
        <v>323</v>
      </c>
      <c r="B324" s="2">
        <v>94151</v>
      </c>
      <c r="C324" t="s">
        <v>51</v>
      </c>
      <c r="D324" t="s">
        <v>52</v>
      </c>
      <c r="E324" t="s">
        <v>20</v>
      </c>
      <c r="F324" t="s">
        <v>21</v>
      </c>
      <c r="G324" t="s">
        <v>98</v>
      </c>
      <c r="H324" t="s">
        <v>23</v>
      </c>
      <c r="I324" t="s">
        <v>24</v>
      </c>
      <c r="J324" t="s">
        <v>25</v>
      </c>
      <c r="K324" s="6">
        <f t="shared" si="11"/>
        <v>2.4</v>
      </c>
      <c r="L324" t="s">
        <v>49</v>
      </c>
      <c r="M324">
        <f t="shared" si="10"/>
        <v>3</v>
      </c>
      <c r="N324" t="s">
        <v>40</v>
      </c>
      <c r="O324" t="s">
        <v>103</v>
      </c>
      <c r="P324" s="2">
        <v>642</v>
      </c>
      <c r="Q324" t="s">
        <v>29</v>
      </c>
      <c r="R324" t="s">
        <v>30</v>
      </c>
      <c r="S324" t="s">
        <v>31</v>
      </c>
      <c r="T324" t="s">
        <v>32</v>
      </c>
    </row>
    <row r="325" spans="1:20" x14ac:dyDescent="0.25">
      <c r="A325" s="2">
        <v>324</v>
      </c>
      <c r="B325" s="2">
        <v>88395</v>
      </c>
      <c r="C325" t="s">
        <v>51</v>
      </c>
      <c r="D325" t="s">
        <v>52</v>
      </c>
      <c r="E325" t="s">
        <v>53</v>
      </c>
      <c r="F325" t="s">
        <v>54</v>
      </c>
      <c r="G325" t="s">
        <v>81</v>
      </c>
      <c r="H325" t="s">
        <v>71</v>
      </c>
      <c r="I325" t="s">
        <v>47</v>
      </c>
      <c r="J325" t="s">
        <v>57</v>
      </c>
      <c r="K325" s="6">
        <f t="shared" si="11"/>
        <v>0.625</v>
      </c>
      <c r="L325" t="s">
        <v>64</v>
      </c>
      <c r="M325">
        <f t="shared" si="10"/>
        <v>7</v>
      </c>
      <c r="N325" t="s">
        <v>27</v>
      </c>
      <c r="O325" t="s">
        <v>103</v>
      </c>
      <c r="P325" s="2">
        <v>370</v>
      </c>
      <c r="Q325" t="s">
        <v>74</v>
      </c>
      <c r="R325" t="s">
        <v>68</v>
      </c>
      <c r="S325" t="s">
        <v>69</v>
      </c>
      <c r="T325" t="s">
        <v>59</v>
      </c>
    </row>
    <row r="326" spans="1:20" x14ac:dyDescent="0.25">
      <c r="A326" s="2">
        <v>325</v>
      </c>
      <c r="B326" s="2">
        <v>74388</v>
      </c>
      <c r="C326" t="s">
        <v>51</v>
      </c>
      <c r="D326" t="s">
        <v>52</v>
      </c>
      <c r="E326" t="s">
        <v>20</v>
      </c>
      <c r="F326" t="s">
        <v>21</v>
      </c>
      <c r="G326" t="s">
        <v>55</v>
      </c>
      <c r="H326" t="s">
        <v>73</v>
      </c>
      <c r="I326" t="s">
        <v>24</v>
      </c>
      <c r="J326" t="s">
        <v>25</v>
      </c>
      <c r="K326" s="6">
        <f t="shared" si="11"/>
        <v>2.4</v>
      </c>
      <c r="L326" t="s">
        <v>64</v>
      </c>
      <c r="M326">
        <f t="shared" si="10"/>
        <v>7</v>
      </c>
      <c r="N326" t="s">
        <v>104</v>
      </c>
      <c r="O326" t="s">
        <v>82</v>
      </c>
      <c r="P326" s="2">
        <v>1201</v>
      </c>
      <c r="Q326" t="s">
        <v>104</v>
      </c>
      <c r="R326" t="s">
        <v>75</v>
      </c>
      <c r="S326" t="s">
        <v>31</v>
      </c>
      <c r="T326" t="s">
        <v>32</v>
      </c>
    </row>
    <row r="327" spans="1:20" x14ac:dyDescent="0.25">
      <c r="A327" s="2">
        <v>326</v>
      </c>
      <c r="B327" s="2">
        <v>26402</v>
      </c>
      <c r="C327" t="s">
        <v>33</v>
      </c>
      <c r="D327" t="s">
        <v>52</v>
      </c>
      <c r="E327" t="s">
        <v>20</v>
      </c>
      <c r="F327" t="s">
        <v>21</v>
      </c>
      <c r="G327" t="s">
        <v>81</v>
      </c>
      <c r="H327" t="s">
        <v>37</v>
      </c>
      <c r="I327" t="s">
        <v>47</v>
      </c>
      <c r="J327" t="s">
        <v>48</v>
      </c>
      <c r="K327" s="6">
        <f t="shared" si="11"/>
        <v>0.625</v>
      </c>
      <c r="L327" t="s">
        <v>64</v>
      </c>
      <c r="M327">
        <f t="shared" si="10"/>
        <v>7</v>
      </c>
      <c r="N327" t="s">
        <v>27</v>
      </c>
      <c r="O327" t="s">
        <v>82</v>
      </c>
      <c r="P327" s="2">
        <v>1328</v>
      </c>
      <c r="Q327" t="s">
        <v>41</v>
      </c>
      <c r="R327" t="s">
        <v>68</v>
      </c>
      <c r="S327" t="s">
        <v>69</v>
      </c>
      <c r="T327" t="s">
        <v>32</v>
      </c>
    </row>
    <row r="328" spans="1:20" x14ac:dyDescent="0.25">
      <c r="A328" s="2">
        <v>327</v>
      </c>
      <c r="B328" s="2">
        <v>53347</v>
      </c>
      <c r="C328" t="s">
        <v>60</v>
      </c>
      <c r="D328" t="s">
        <v>66</v>
      </c>
      <c r="E328" t="s">
        <v>84</v>
      </c>
      <c r="F328" t="s">
        <v>85</v>
      </c>
      <c r="G328" t="s">
        <v>70</v>
      </c>
      <c r="H328" t="s">
        <v>46</v>
      </c>
      <c r="I328" t="s">
        <v>94</v>
      </c>
      <c r="J328" t="s">
        <v>39</v>
      </c>
      <c r="K328" s="6">
        <f t="shared" si="11"/>
        <v>0.375</v>
      </c>
      <c r="L328" t="s">
        <v>64</v>
      </c>
      <c r="M328">
        <f t="shared" si="10"/>
        <v>7</v>
      </c>
      <c r="N328" t="s">
        <v>27</v>
      </c>
      <c r="O328" t="s">
        <v>28</v>
      </c>
      <c r="P328" s="2">
        <v>544</v>
      </c>
      <c r="Q328" t="s">
        <v>104</v>
      </c>
      <c r="R328" t="s">
        <v>68</v>
      </c>
      <c r="S328" t="s">
        <v>69</v>
      </c>
      <c r="T328" t="s">
        <v>32</v>
      </c>
    </row>
    <row r="329" spans="1:20" x14ac:dyDescent="0.25">
      <c r="A329" s="2">
        <v>328</v>
      </c>
      <c r="B329" s="2">
        <v>46923</v>
      </c>
      <c r="C329" t="s">
        <v>19</v>
      </c>
      <c r="D329" t="s">
        <v>52</v>
      </c>
      <c r="E329" t="s">
        <v>84</v>
      </c>
      <c r="F329" t="s">
        <v>85</v>
      </c>
      <c r="G329" t="s">
        <v>98</v>
      </c>
      <c r="H329" t="s">
        <v>23</v>
      </c>
      <c r="I329" t="s">
        <v>91</v>
      </c>
      <c r="J329" t="s">
        <v>57</v>
      </c>
      <c r="K329" s="6">
        <f t="shared" si="11"/>
        <v>2.2000000000000002</v>
      </c>
      <c r="L329" t="s">
        <v>26</v>
      </c>
      <c r="M329">
        <f t="shared" si="10"/>
        <v>1</v>
      </c>
      <c r="N329" t="s">
        <v>27</v>
      </c>
      <c r="O329" t="s">
        <v>103</v>
      </c>
      <c r="P329" s="2">
        <v>697</v>
      </c>
      <c r="Q329" t="s">
        <v>74</v>
      </c>
      <c r="R329" t="s">
        <v>75</v>
      </c>
      <c r="S329" t="s">
        <v>58</v>
      </c>
      <c r="T329" t="s">
        <v>32</v>
      </c>
    </row>
    <row r="330" spans="1:20" x14ac:dyDescent="0.25">
      <c r="A330" s="2">
        <v>329</v>
      </c>
      <c r="B330" s="2">
        <v>81823</v>
      </c>
      <c r="C330" t="s">
        <v>19</v>
      </c>
      <c r="D330" t="s">
        <v>52</v>
      </c>
      <c r="E330" t="s">
        <v>44</v>
      </c>
      <c r="F330" t="s">
        <v>44</v>
      </c>
      <c r="G330" t="s">
        <v>63</v>
      </c>
      <c r="H330" t="s">
        <v>73</v>
      </c>
      <c r="I330" t="s">
        <v>83</v>
      </c>
      <c r="J330" t="s">
        <v>57</v>
      </c>
      <c r="K330" s="6">
        <f t="shared" si="11"/>
        <v>2.2000000000000002</v>
      </c>
      <c r="L330" t="s">
        <v>64</v>
      </c>
      <c r="M330">
        <f t="shared" si="10"/>
        <v>7</v>
      </c>
      <c r="N330" t="s">
        <v>27</v>
      </c>
      <c r="O330" t="s">
        <v>103</v>
      </c>
      <c r="P330" s="2">
        <v>1368</v>
      </c>
      <c r="Q330" t="s">
        <v>29</v>
      </c>
      <c r="R330" t="s">
        <v>30</v>
      </c>
      <c r="S330" t="s">
        <v>58</v>
      </c>
      <c r="T330" t="s">
        <v>43</v>
      </c>
    </row>
    <row r="331" spans="1:20" x14ac:dyDescent="0.25">
      <c r="A331" s="2">
        <v>330</v>
      </c>
      <c r="B331" s="2">
        <v>16803</v>
      </c>
      <c r="C331" t="s">
        <v>96</v>
      </c>
      <c r="D331" t="s">
        <v>66</v>
      </c>
      <c r="E331" t="s">
        <v>84</v>
      </c>
      <c r="F331" t="s">
        <v>85</v>
      </c>
      <c r="G331" t="s">
        <v>22</v>
      </c>
      <c r="H331" t="s">
        <v>73</v>
      </c>
      <c r="I331" t="s">
        <v>94</v>
      </c>
      <c r="J331" t="s">
        <v>57</v>
      </c>
      <c r="K331" s="6">
        <f t="shared" si="11"/>
        <v>0.375</v>
      </c>
      <c r="L331" t="s">
        <v>64</v>
      </c>
      <c r="M331">
        <f t="shared" si="10"/>
        <v>7</v>
      </c>
      <c r="N331" t="s">
        <v>104</v>
      </c>
      <c r="O331" t="s">
        <v>65</v>
      </c>
      <c r="P331" s="2">
        <v>852</v>
      </c>
      <c r="Q331" t="s">
        <v>41</v>
      </c>
      <c r="R331" t="s">
        <v>68</v>
      </c>
      <c r="S331" t="s">
        <v>31</v>
      </c>
      <c r="T331" t="s">
        <v>32</v>
      </c>
    </row>
    <row r="332" spans="1:20" x14ac:dyDescent="0.25">
      <c r="A332" s="2">
        <v>331</v>
      </c>
      <c r="B332" s="2">
        <v>86504</v>
      </c>
      <c r="C332" t="s">
        <v>96</v>
      </c>
      <c r="D332" t="s">
        <v>66</v>
      </c>
      <c r="E332" t="s">
        <v>97</v>
      </c>
      <c r="F332" t="s">
        <v>62</v>
      </c>
      <c r="G332" t="s">
        <v>45</v>
      </c>
      <c r="H332" t="s">
        <v>71</v>
      </c>
      <c r="I332" t="s">
        <v>47</v>
      </c>
      <c r="J332" t="s">
        <v>57</v>
      </c>
      <c r="K332" s="6">
        <f t="shared" si="11"/>
        <v>1.25</v>
      </c>
      <c r="L332" t="s">
        <v>64</v>
      </c>
      <c r="M332">
        <f t="shared" si="10"/>
        <v>7</v>
      </c>
      <c r="N332" t="s">
        <v>27</v>
      </c>
      <c r="O332" t="s">
        <v>65</v>
      </c>
      <c r="P332" s="2">
        <v>157</v>
      </c>
      <c r="Q332" t="s">
        <v>41</v>
      </c>
      <c r="R332" t="s">
        <v>42</v>
      </c>
      <c r="S332" t="s">
        <v>31</v>
      </c>
      <c r="T332" t="s">
        <v>59</v>
      </c>
    </row>
    <row r="333" spans="1:20" x14ac:dyDescent="0.25">
      <c r="A333" s="2">
        <v>332</v>
      </c>
      <c r="B333" s="2">
        <v>56983</v>
      </c>
      <c r="C333" t="s">
        <v>60</v>
      </c>
      <c r="D333" t="s">
        <v>52</v>
      </c>
      <c r="E333" t="s">
        <v>53</v>
      </c>
      <c r="F333" t="s">
        <v>54</v>
      </c>
      <c r="G333" t="s">
        <v>22</v>
      </c>
      <c r="H333" t="s">
        <v>23</v>
      </c>
      <c r="I333" t="s">
        <v>67</v>
      </c>
      <c r="J333" t="s">
        <v>57</v>
      </c>
      <c r="K333" s="6">
        <f t="shared" si="11"/>
        <v>0.55000000000000004</v>
      </c>
      <c r="L333" t="s">
        <v>64</v>
      </c>
      <c r="M333">
        <f t="shared" si="10"/>
        <v>7</v>
      </c>
      <c r="N333" t="s">
        <v>40</v>
      </c>
      <c r="O333" t="s">
        <v>28</v>
      </c>
      <c r="P333" s="2">
        <v>739</v>
      </c>
      <c r="Q333" t="s">
        <v>41</v>
      </c>
      <c r="R333" t="s">
        <v>68</v>
      </c>
      <c r="S333" t="s">
        <v>58</v>
      </c>
      <c r="T333" t="s">
        <v>59</v>
      </c>
    </row>
    <row r="334" spans="1:20" x14ac:dyDescent="0.25">
      <c r="A334" s="2">
        <v>333</v>
      </c>
      <c r="B334" s="2">
        <v>37672</v>
      </c>
      <c r="C334" t="s">
        <v>33</v>
      </c>
      <c r="D334" t="s">
        <v>52</v>
      </c>
      <c r="E334" t="s">
        <v>89</v>
      </c>
      <c r="F334" t="s">
        <v>90</v>
      </c>
      <c r="G334" t="s">
        <v>45</v>
      </c>
      <c r="H334" t="s">
        <v>46</v>
      </c>
      <c r="I334" t="s">
        <v>83</v>
      </c>
      <c r="J334" t="s">
        <v>86</v>
      </c>
      <c r="K334" s="6">
        <f t="shared" si="11"/>
        <v>0.55000000000000004</v>
      </c>
      <c r="L334" t="s">
        <v>64</v>
      </c>
      <c r="M334">
        <f t="shared" si="10"/>
        <v>7</v>
      </c>
      <c r="N334" t="s">
        <v>40</v>
      </c>
      <c r="O334" t="s">
        <v>28</v>
      </c>
      <c r="P334" s="2">
        <v>582</v>
      </c>
      <c r="Q334" t="s">
        <v>41</v>
      </c>
      <c r="R334" t="s">
        <v>68</v>
      </c>
      <c r="S334" t="s">
        <v>58</v>
      </c>
      <c r="T334" t="s">
        <v>59</v>
      </c>
    </row>
    <row r="335" spans="1:20" x14ac:dyDescent="0.25">
      <c r="A335" s="2">
        <v>334</v>
      </c>
      <c r="B335" s="2">
        <v>50860</v>
      </c>
      <c r="C335" t="s">
        <v>33</v>
      </c>
      <c r="D335" t="s">
        <v>52</v>
      </c>
      <c r="E335" t="s">
        <v>89</v>
      </c>
      <c r="F335" t="s">
        <v>90</v>
      </c>
      <c r="G335" t="s">
        <v>63</v>
      </c>
      <c r="H335" t="s">
        <v>71</v>
      </c>
      <c r="I335" t="s">
        <v>24</v>
      </c>
      <c r="J335" t="s">
        <v>57</v>
      </c>
      <c r="K335" s="6">
        <f t="shared" si="11"/>
        <v>2.4</v>
      </c>
      <c r="L335" t="s">
        <v>26</v>
      </c>
      <c r="M335">
        <f t="shared" si="10"/>
        <v>1</v>
      </c>
      <c r="N335" t="s">
        <v>104</v>
      </c>
      <c r="O335" t="s">
        <v>103</v>
      </c>
      <c r="P335" s="2">
        <v>203</v>
      </c>
      <c r="Q335" t="s">
        <v>29</v>
      </c>
      <c r="R335" t="s">
        <v>30</v>
      </c>
      <c r="S335" t="s">
        <v>69</v>
      </c>
      <c r="T335" t="s">
        <v>59</v>
      </c>
    </row>
    <row r="336" spans="1:20" x14ac:dyDescent="0.25">
      <c r="A336" s="2">
        <v>335</v>
      </c>
      <c r="B336" s="2">
        <v>68356</v>
      </c>
      <c r="C336" t="s">
        <v>33</v>
      </c>
      <c r="D336" t="s">
        <v>52</v>
      </c>
      <c r="E336" t="s">
        <v>89</v>
      </c>
      <c r="F336" t="s">
        <v>90</v>
      </c>
      <c r="G336" t="s">
        <v>55</v>
      </c>
      <c r="H336" t="s">
        <v>73</v>
      </c>
      <c r="I336" t="s">
        <v>67</v>
      </c>
      <c r="J336" t="s">
        <v>57</v>
      </c>
      <c r="K336" s="6">
        <f t="shared" si="11"/>
        <v>2.2000000000000002</v>
      </c>
      <c r="L336" t="s">
        <v>49</v>
      </c>
      <c r="M336">
        <f t="shared" si="10"/>
        <v>3</v>
      </c>
      <c r="N336" t="s">
        <v>104</v>
      </c>
      <c r="O336" t="s">
        <v>65</v>
      </c>
      <c r="P336" s="2">
        <v>922</v>
      </c>
      <c r="Q336" t="s">
        <v>104</v>
      </c>
      <c r="R336" t="s">
        <v>30</v>
      </c>
      <c r="S336" t="s">
        <v>31</v>
      </c>
      <c r="T336" t="s">
        <v>59</v>
      </c>
    </row>
    <row r="337" spans="1:20" x14ac:dyDescent="0.25">
      <c r="A337" s="2">
        <v>336</v>
      </c>
      <c r="B337" s="2">
        <v>70616</v>
      </c>
      <c r="C337" t="s">
        <v>19</v>
      </c>
      <c r="D337" t="s">
        <v>66</v>
      </c>
      <c r="E337" t="s">
        <v>84</v>
      </c>
      <c r="F337" t="s">
        <v>85</v>
      </c>
      <c r="G337" t="s">
        <v>81</v>
      </c>
      <c r="H337" t="s">
        <v>37</v>
      </c>
      <c r="I337" t="s">
        <v>94</v>
      </c>
      <c r="J337" t="s">
        <v>57</v>
      </c>
      <c r="K337" s="6">
        <f t="shared" si="11"/>
        <v>0.375</v>
      </c>
      <c r="L337" t="s">
        <v>49</v>
      </c>
      <c r="M337">
        <f t="shared" si="10"/>
        <v>3</v>
      </c>
      <c r="N337" t="s">
        <v>27</v>
      </c>
      <c r="O337" t="s">
        <v>28</v>
      </c>
      <c r="P337" s="2">
        <v>1479</v>
      </c>
      <c r="Q337" t="s">
        <v>74</v>
      </c>
      <c r="R337" t="s">
        <v>68</v>
      </c>
      <c r="S337" t="s">
        <v>69</v>
      </c>
      <c r="T337" t="s">
        <v>32</v>
      </c>
    </row>
    <row r="338" spans="1:20" x14ac:dyDescent="0.25">
      <c r="A338" s="2">
        <v>337</v>
      </c>
      <c r="B338" s="2">
        <v>50209</v>
      </c>
      <c r="C338" t="s">
        <v>96</v>
      </c>
      <c r="D338" t="s">
        <v>66</v>
      </c>
      <c r="E338" t="s">
        <v>101</v>
      </c>
      <c r="F338" t="s">
        <v>80</v>
      </c>
      <c r="G338" t="s">
        <v>63</v>
      </c>
      <c r="H338" t="s">
        <v>23</v>
      </c>
      <c r="I338" t="s">
        <v>47</v>
      </c>
      <c r="J338" t="s">
        <v>57</v>
      </c>
      <c r="K338" s="6">
        <f t="shared" si="11"/>
        <v>2.5</v>
      </c>
      <c r="L338" t="s">
        <v>64</v>
      </c>
      <c r="M338">
        <f t="shared" si="10"/>
        <v>7</v>
      </c>
      <c r="N338" t="s">
        <v>27</v>
      </c>
      <c r="O338" t="s">
        <v>28</v>
      </c>
      <c r="P338" s="2">
        <v>756</v>
      </c>
      <c r="Q338" t="s">
        <v>29</v>
      </c>
      <c r="R338" t="s">
        <v>30</v>
      </c>
      <c r="S338" t="s">
        <v>50</v>
      </c>
      <c r="T338" t="s">
        <v>32</v>
      </c>
    </row>
    <row r="339" spans="1:20" x14ac:dyDescent="0.25">
      <c r="A339" s="2">
        <v>338</v>
      </c>
      <c r="B339" s="2">
        <v>62711</v>
      </c>
      <c r="C339" t="s">
        <v>19</v>
      </c>
      <c r="D339" t="s">
        <v>52</v>
      </c>
      <c r="E339" t="s">
        <v>99</v>
      </c>
      <c r="F339" t="s">
        <v>100</v>
      </c>
      <c r="G339" t="s">
        <v>81</v>
      </c>
      <c r="H339" t="s">
        <v>46</v>
      </c>
      <c r="I339" t="s">
        <v>38</v>
      </c>
      <c r="J339" t="s">
        <v>57</v>
      </c>
      <c r="K339" s="6">
        <f t="shared" si="11"/>
        <v>0.5</v>
      </c>
      <c r="L339" t="s">
        <v>26</v>
      </c>
      <c r="M339">
        <f t="shared" si="10"/>
        <v>1</v>
      </c>
      <c r="N339" t="s">
        <v>27</v>
      </c>
      <c r="O339" t="s">
        <v>65</v>
      </c>
      <c r="P339" s="2">
        <v>442</v>
      </c>
      <c r="Q339" t="s">
        <v>104</v>
      </c>
      <c r="R339" t="s">
        <v>68</v>
      </c>
      <c r="S339" t="s">
        <v>31</v>
      </c>
      <c r="T339" t="s">
        <v>32</v>
      </c>
    </row>
    <row r="340" spans="1:20" x14ac:dyDescent="0.25">
      <c r="A340" s="2">
        <v>339</v>
      </c>
      <c r="B340" s="2">
        <v>14269</v>
      </c>
      <c r="C340" t="s">
        <v>33</v>
      </c>
      <c r="D340" t="s">
        <v>52</v>
      </c>
      <c r="E340" t="s">
        <v>87</v>
      </c>
      <c r="F340" t="s">
        <v>88</v>
      </c>
      <c r="G340" t="s">
        <v>45</v>
      </c>
      <c r="H340" t="s">
        <v>73</v>
      </c>
      <c r="I340" t="s">
        <v>24</v>
      </c>
      <c r="J340" t="s">
        <v>25</v>
      </c>
      <c r="K340" s="6">
        <f t="shared" si="11"/>
        <v>2.4</v>
      </c>
      <c r="L340" t="s">
        <v>64</v>
      </c>
      <c r="M340">
        <f t="shared" si="10"/>
        <v>7</v>
      </c>
      <c r="N340" t="s">
        <v>40</v>
      </c>
      <c r="O340" t="s">
        <v>103</v>
      </c>
      <c r="P340" s="2">
        <v>1404</v>
      </c>
      <c r="Q340" t="s">
        <v>29</v>
      </c>
      <c r="R340" t="s">
        <v>75</v>
      </c>
      <c r="S340" t="s">
        <v>69</v>
      </c>
      <c r="T340" t="s">
        <v>59</v>
      </c>
    </row>
    <row r="341" spans="1:20" x14ac:dyDescent="0.25">
      <c r="A341" s="2">
        <v>340</v>
      </c>
      <c r="B341" s="2">
        <v>88599</v>
      </c>
      <c r="C341" t="s">
        <v>19</v>
      </c>
      <c r="D341" t="s">
        <v>52</v>
      </c>
      <c r="E341" t="s">
        <v>84</v>
      </c>
      <c r="F341" t="s">
        <v>85</v>
      </c>
      <c r="G341" t="s">
        <v>36</v>
      </c>
      <c r="H341" t="s">
        <v>46</v>
      </c>
      <c r="I341" t="s">
        <v>56</v>
      </c>
      <c r="J341" t="s">
        <v>57</v>
      </c>
      <c r="K341" s="6">
        <f t="shared" si="11"/>
        <v>0.55000000000000004</v>
      </c>
      <c r="L341" t="s">
        <v>49</v>
      </c>
      <c r="M341">
        <f t="shared" si="10"/>
        <v>3</v>
      </c>
      <c r="N341" t="s">
        <v>40</v>
      </c>
      <c r="O341" t="s">
        <v>103</v>
      </c>
      <c r="P341" s="2">
        <v>412</v>
      </c>
      <c r="Q341" t="s">
        <v>41</v>
      </c>
      <c r="R341" t="s">
        <v>68</v>
      </c>
      <c r="S341" t="s">
        <v>69</v>
      </c>
      <c r="T341" t="s">
        <v>32</v>
      </c>
    </row>
    <row r="342" spans="1:20" x14ac:dyDescent="0.25">
      <c r="A342" s="2">
        <v>341</v>
      </c>
      <c r="B342" s="2">
        <v>99996</v>
      </c>
      <c r="C342" t="s">
        <v>33</v>
      </c>
      <c r="D342" t="s">
        <v>66</v>
      </c>
      <c r="E342" t="s">
        <v>87</v>
      </c>
      <c r="F342" t="s">
        <v>88</v>
      </c>
      <c r="G342" t="s">
        <v>81</v>
      </c>
      <c r="H342" t="s">
        <v>46</v>
      </c>
      <c r="I342" t="s">
        <v>24</v>
      </c>
      <c r="J342" t="s">
        <v>25</v>
      </c>
      <c r="K342" s="6">
        <f t="shared" si="11"/>
        <v>2.4</v>
      </c>
      <c r="L342" t="s">
        <v>49</v>
      </c>
      <c r="M342">
        <f t="shared" si="10"/>
        <v>3</v>
      </c>
      <c r="N342" t="s">
        <v>40</v>
      </c>
      <c r="O342" t="s">
        <v>102</v>
      </c>
      <c r="P342" s="2">
        <v>460</v>
      </c>
      <c r="Q342" t="s">
        <v>104</v>
      </c>
      <c r="R342" t="s">
        <v>30</v>
      </c>
      <c r="S342" t="s">
        <v>69</v>
      </c>
      <c r="T342" t="s">
        <v>59</v>
      </c>
    </row>
    <row r="343" spans="1:20" x14ac:dyDescent="0.25">
      <c r="A343" s="2">
        <v>342</v>
      </c>
      <c r="B343" s="2">
        <v>88505</v>
      </c>
      <c r="C343" t="s">
        <v>60</v>
      </c>
      <c r="D343" t="s">
        <v>66</v>
      </c>
      <c r="E343" t="s">
        <v>44</v>
      </c>
      <c r="F343" t="s">
        <v>44</v>
      </c>
      <c r="G343" t="s">
        <v>63</v>
      </c>
      <c r="H343" t="s">
        <v>73</v>
      </c>
      <c r="I343" t="s">
        <v>24</v>
      </c>
      <c r="J343" t="s">
        <v>39</v>
      </c>
      <c r="K343" s="6">
        <f t="shared" si="11"/>
        <v>0.6</v>
      </c>
      <c r="L343" t="s">
        <v>64</v>
      </c>
      <c r="M343">
        <f t="shared" si="10"/>
        <v>7</v>
      </c>
      <c r="N343" t="s">
        <v>40</v>
      </c>
      <c r="O343" t="s">
        <v>103</v>
      </c>
      <c r="P343" s="2">
        <v>960</v>
      </c>
      <c r="Q343" t="s">
        <v>41</v>
      </c>
      <c r="R343" t="s">
        <v>68</v>
      </c>
      <c r="S343" t="s">
        <v>50</v>
      </c>
      <c r="T343" t="s">
        <v>43</v>
      </c>
    </row>
    <row r="344" spans="1:20" x14ac:dyDescent="0.25">
      <c r="A344" s="2">
        <v>343</v>
      </c>
      <c r="B344" s="2">
        <v>11065</v>
      </c>
      <c r="C344" t="s">
        <v>60</v>
      </c>
      <c r="D344" t="s">
        <v>66</v>
      </c>
      <c r="E344" t="s">
        <v>34</v>
      </c>
      <c r="F344" t="s">
        <v>35</v>
      </c>
      <c r="G344" t="s">
        <v>70</v>
      </c>
      <c r="H344" t="s">
        <v>23</v>
      </c>
      <c r="I344" t="s">
        <v>67</v>
      </c>
      <c r="J344" t="s">
        <v>57</v>
      </c>
      <c r="K344" s="6">
        <f t="shared" si="11"/>
        <v>2.2000000000000002</v>
      </c>
      <c r="L344" t="s">
        <v>64</v>
      </c>
      <c r="M344">
        <f t="shared" si="10"/>
        <v>7</v>
      </c>
      <c r="N344" t="s">
        <v>104</v>
      </c>
      <c r="O344" t="s">
        <v>103</v>
      </c>
      <c r="P344" s="2">
        <v>768</v>
      </c>
      <c r="Q344" t="s">
        <v>104</v>
      </c>
      <c r="R344" t="s">
        <v>30</v>
      </c>
      <c r="S344" t="s">
        <v>58</v>
      </c>
      <c r="T344" t="s">
        <v>43</v>
      </c>
    </row>
    <row r="345" spans="1:20" x14ac:dyDescent="0.25">
      <c r="A345" s="2">
        <v>344</v>
      </c>
      <c r="B345" s="2">
        <v>70395</v>
      </c>
      <c r="C345" t="s">
        <v>33</v>
      </c>
      <c r="D345" t="s">
        <v>52</v>
      </c>
      <c r="E345" t="s">
        <v>95</v>
      </c>
      <c r="F345" t="s">
        <v>21</v>
      </c>
      <c r="G345" t="s">
        <v>92</v>
      </c>
      <c r="H345" t="s">
        <v>71</v>
      </c>
      <c r="I345" t="s">
        <v>56</v>
      </c>
      <c r="J345" t="s">
        <v>86</v>
      </c>
      <c r="K345" s="6">
        <f t="shared" si="11"/>
        <v>0.55000000000000004</v>
      </c>
      <c r="L345" t="s">
        <v>64</v>
      </c>
      <c r="M345">
        <f t="shared" si="10"/>
        <v>7</v>
      </c>
      <c r="N345" t="s">
        <v>104</v>
      </c>
      <c r="O345" t="s">
        <v>28</v>
      </c>
      <c r="P345" s="2">
        <v>185</v>
      </c>
      <c r="Q345" t="s">
        <v>74</v>
      </c>
      <c r="R345" t="s">
        <v>68</v>
      </c>
      <c r="S345" t="s">
        <v>50</v>
      </c>
      <c r="T345" t="s">
        <v>43</v>
      </c>
    </row>
    <row r="346" spans="1:20" x14ac:dyDescent="0.25">
      <c r="A346" s="2">
        <v>345</v>
      </c>
      <c r="B346" s="2">
        <v>58328</v>
      </c>
      <c r="C346" t="s">
        <v>96</v>
      </c>
      <c r="D346" t="s">
        <v>52</v>
      </c>
      <c r="E346" t="s">
        <v>76</v>
      </c>
      <c r="F346" t="s">
        <v>77</v>
      </c>
      <c r="G346" t="s">
        <v>81</v>
      </c>
      <c r="H346" t="s">
        <v>46</v>
      </c>
      <c r="I346" t="s">
        <v>47</v>
      </c>
      <c r="J346" t="s">
        <v>57</v>
      </c>
      <c r="K346" s="6">
        <f t="shared" si="11"/>
        <v>0.625</v>
      </c>
      <c r="L346" t="s">
        <v>64</v>
      </c>
      <c r="M346">
        <f t="shared" si="10"/>
        <v>7</v>
      </c>
      <c r="N346" t="s">
        <v>27</v>
      </c>
      <c r="O346" t="s">
        <v>103</v>
      </c>
      <c r="P346" s="2">
        <v>527</v>
      </c>
      <c r="Q346" t="s">
        <v>104</v>
      </c>
      <c r="R346" t="s">
        <v>68</v>
      </c>
      <c r="S346" t="s">
        <v>69</v>
      </c>
      <c r="T346" t="s">
        <v>43</v>
      </c>
    </row>
    <row r="347" spans="1:20" x14ac:dyDescent="0.25">
      <c r="A347" s="2">
        <v>346</v>
      </c>
      <c r="B347" s="2">
        <v>19400</v>
      </c>
      <c r="C347" t="s">
        <v>96</v>
      </c>
      <c r="D347" t="s">
        <v>52</v>
      </c>
      <c r="E347" t="s">
        <v>95</v>
      </c>
      <c r="F347" t="s">
        <v>21</v>
      </c>
      <c r="G347" t="s">
        <v>70</v>
      </c>
      <c r="H347" t="s">
        <v>23</v>
      </c>
      <c r="I347" t="s">
        <v>47</v>
      </c>
      <c r="J347" t="s">
        <v>57</v>
      </c>
      <c r="K347" s="6">
        <f t="shared" si="11"/>
        <v>2.5</v>
      </c>
      <c r="L347" t="s">
        <v>64</v>
      </c>
      <c r="M347">
        <f t="shared" si="10"/>
        <v>7</v>
      </c>
      <c r="N347" t="s">
        <v>104</v>
      </c>
      <c r="O347" t="s">
        <v>102</v>
      </c>
      <c r="P347" s="2">
        <v>425</v>
      </c>
      <c r="Q347" t="s">
        <v>74</v>
      </c>
      <c r="R347" t="s">
        <v>30</v>
      </c>
      <c r="S347" t="s">
        <v>58</v>
      </c>
      <c r="T347" t="s">
        <v>43</v>
      </c>
    </row>
    <row r="348" spans="1:20" x14ac:dyDescent="0.25">
      <c r="A348" s="2">
        <v>347</v>
      </c>
      <c r="B348" s="2">
        <v>49999</v>
      </c>
      <c r="C348" t="s">
        <v>96</v>
      </c>
      <c r="D348" t="s">
        <v>52</v>
      </c>
      <c r="E348" t="s">
        <v>93</v>
      </c>
      <c r="F348" t="s">
        <v>62</v>
      </c>
      <c r="G348" t="s">
        <v>45</v>
      </c>
      <c r="H348" t="s">
        <v>71</v>
      </c>
      <c r="I348" t="s">
        <v>91</v>
      </c>
      <c r="J348" t="s">
        <v>57</v>
      </c>
      <c r="K348" s="6">
        <f t="shared" si="11"/>
        <v>0.55000000000000004</v>
      </c>
      <c r="L348" t="s">
        <v>64</v>
      </c>
      <c r="M348">
        <f t="shared" si="10"/>
        <v>7</v>
      </c>
      <c r="N348" t="s">
        <v>27</v>
      </c>
      <c r="O348" t="s">
        <v>103</v>
      </c>
      <c r="P348" s="2">
        <v>242</v>
      </c>
      <c r="Q348" t="s">
        <v>104</v>
      </c>
      <c r="R348" t="s">
        <v>68</v>
      </c>
      <c r="S348" t="s">
        <v>50</v>
      </c>
      <c r="T348" t="s">
        <v>43</v>
      </c>
    </row>
    <row r="349" spans="1:20" x14ac:dyDescent="0.25">
      <c r="A349" s="2">
        <v>348</v>
      </c>
      <c r="B349" s="2">
        <v>50347</v>
      </c>
      <c r="C349" t="s">
        <v>33</v>
      </c>
      <c r="D349" t="s">
        <v>52</v>
      </c>
      <c r="E349" t="s">
        <v>101</v>
      </c>
      <c r="F349" t="s">
        <v>80</v>
      </c>
      <c r="G349" t="s">
        <v>92</v>
      </c>
      <c r="H349" t="s">
        <v>46</v>
      </c>
      <c r="I349" t="s">
        <v>24</v>
      </c>
      <c r="J349" t="s">
        <v>25</v>
      </c>
      <c r="K349" s="6">
        <f t="shared" si="11"/>
        <v>2.4</v>
      </c>
      <c r="L349" t="s">
        <v>26</v>
      </c>
      <c r="M349">
        <f t="shared" si="10"/>
        <v>1</v>
      </c>
      <c r="N349" t="s">
        <v>27</v>
      </c>
      <c r="O349" t="s">
        <v>65</v>
      </c>
      <c r="P349" s="2">
        <v>338</v>
      </c>
      <c r="Q349" t="s">
        <v>74</v>
      </c>
      <c r="R349" t="s">
        <v>75</v>
      </c>
      <c r="S349" t="s">
        <v>31</v>
      </c>
      <c r="T349" t="s">
        <v>32</v>
      </c>
    </row>
    <row r="350" spans="1:20" x14ac:dyDescent="0.25">
      <c r="A350" s="2">
        <v>349</v>
      </c>
      <c r="B350" s="2">
        <v>97005</v>
      </c>
      <c r="C350" t="s">
        <v>19</v>
      </c>
      <c r="D350" t="s">
        <v>66</v>
      </c>
      <c r="E350" t="s">
        <v>61</v>
      </c>
      <c r="F350" t="s">
        <v>62</v>
      </c>
      <c r="G350" t="s">
        <v>63</v>
      </c>
      <c r="H350" t="s">
        <v>46</v>
      </c>
      <c r="I350" t="s">
        <v>24</v>
      </c>
      <c r="J350" t="s">
        <v>57</v>
      </c>
      <c r="K350" s="6">
        <f t="shared" si="11"/>
        <v>2.4</v>
      </c>
      <c r="L350" t="s">
        <v>64</v>
      </c>
      <c r="M350">
        <f t="shared" si="10"/>
        <v>7</v>
      </c>
      <c r="N350" t="s">
        <v>40</v>
      </c>
      <c r="O350" t="s">
        <v>103</v>
      </c>
      <c r="P350" s="2">
        <v>555</v>
      </c>
      <c r="Q350" t="s">
        <v>104</v>
      </c>
      <c r="R350" t="s">
        <v>30</v>
      </c>
      <c r="S350" t="s">
        <v>58</v>
      </c>
      <c r="T350" t="s">
        <v>59</v>
      </c>
    </row>
    <row r="351" spans="1:20" x14ac:dyDescent="0.25">
      <c r="A351" s="2">
        <v>350</v>
      </c>
      <c r="B351" s="2">
        <v>91378</v>
      </c>
      <c r="C351" t="s">
        <v>51</v>
      </c>
      <c r="D351" t="s">
        <v>66</v>
      </c>
      <c r="E351" t="s">
        <v>53</v>
      </c>
      <c r="F351" t="s">
        <v>54</v>
      </c>
      <c r="G351" t="s">
        <v>36</v>
      </c>
      <c r="H351" t="s">
        <v>46</v>
      </c>
      <c r="I351" t="s">
        <v>47</v>
      </c>
      <c r="J351" t="s">
        <v>25</v>
      </c>
      <c r="K351" s="6">
        <f t="shared" si="11"/>
        <v>2.5</v>
      </c>
      <c r="L351" t="s">
        <v>64</v>
      </c>
      <c r="M351">
        <f t="shared" si="10"/>
        <v>7</v>
      </c>
      <c r="N351" t="s">
        <v>40</v>
      </c>
      <c r="O351" t="s">
        <v>28</v>
      </c>
      <c r="P351" s="2">
        <v>313</v>
      </c>
      <c r="Q351" t="s">
        <v>29</v>
      </c>
      <c r="R351" t="s">
        <v>75</v>
      </c>
      <c r="S351" t="s">
        <v>50</v>
      </c>
      <c r="T351" t="s">
        <v>59</v>
      </c>
    </row>
    <row r="352" spans="1:20" x14ac:dyDescent="0.25">
      <c r="A352" s="2">
        <v>351</v>
      </c>
      <c r="B352" s="2">
        <v>97699</v>
      </c>
      <c r="C352" t="s">
        <v>60</v>
      </c>
      <c r="D352" t="s">
        <v>52</v>
      </c>
      <c r="E352" t="s">
        <v>79</v>
      </c>
      <c r="F352" t="s">
        <v>80</v>
      </c>
      <c r="G352" t="s">
        <v>22</v>
      </c>
      <c r="H352" t="s">
        <v>46</v>
      </c>
      <c r="I352" t="s">
        <v>24</v>
      </c>
      <c r="J352" t="s">
        <v>25</v>
      </c>
      <c r="K352" s="6">
        <f t="shared" si="11"/>
        <v>2.4</v>
      </c>
      <c r="L352" t="s">
        <v>49</v>
      </c>
      <c r="M352">
        <f t="shared" si="10"/>
        <v>3</v>
      </c>
      <c r="N352" t="s">
        <v>40</v>
      </c>
      <c r="O352" t="s">
        <v>103</v>
      </c>
      <c r="P352" s="2">
        <v>325</v>
      </c>
      <c r="Q352" t="s">
        <v>41</v>
      </c>
      <c r="R352" t="s">
        <v>75</v>
      </c>
      <c r="S352" t="s">
        <v>31</v>
      </c>
      <c r="T352" t="s">
        <v>43</v>
      </c>
    </row>
    <row r="353" spans="1:20" x14ac:dyDescent="0.25">
      <c r="A353" s="2">
        <v>352</v>
      </c>
      <c r="B353" s="2">
        <v>15291</v>
      </c>
      <c r="C353" t="s">
        <v>96</v>
      </c>
      <c r="D353" t="s">
        <v>66</v>
      </c>
      <c r="E353" t="s">
        <v>95</v>
      </c>
      <c r="F353" t="s">
        <v>21</v>
      </c>
      <c r="G353" t="s">
        <v>81</v>
      </c>
      <c r="H353" t="s">
        <v>71</v>
      </c>
      <c r="I353" t="s">
        <v>91</v>
      </c>
      <c r="J353" t="s">
        <v>39</v>
      </c>
      <c r="K353" s="6">
        <f t="shared" si="11"/>
        <v>1.1000000000000001</v>
      </c>
      <c r="L353" t="s">
        <v>49</v>
      </c>
      <c r="M353">
        <f t="shared" si="10"/>
        <v>3</v>
      </c>
      <c r="N353" t="s">
        <v>40</v>
      </c>
      <c r="O353" t="s">
        <v>103</v>
      </c>
      <c r="P353" s="2">
        <v>367</v>
      </c>
      <c r="Q353" t="s">
        <v>74</v>
      </c>
      <c r="R353" t="s">
        <v>42</v>
      </c>
      <c r="S353" t="s">
        <v>58</v>
      </c>
      <c r="T353" t="s">
        <v>43</v>
      </c>
    </row>
    <row r="354" spans="1:20" x14ac:dyDescent="0.25">
      <c r="A354" s="2">
        <v>353</v>
      </c>
      <c r="B354" s="2">
        <v>61920</v>
      </c>
      <c r="C354" t="s">
        <v>51</v>
      </c>
      <c r="D354" t="s">
        <v>52</v>
      </c>
      <c r="E354" t="s">
        <v>93</v>
      </c>
      <c r="F354" t="s">
        <v>62</v>
      </c>
      <c r="G354" t="s">
        <v>81</v>
      </c>
      <c r="H354" t="s">
        <v>71</v>
      </c>
      <c r="I354" t="s">
        <v>38</v>
      </c>
      <c r="J354" t="s">
        <v>57</v>
      </c>
      <c r="K354" s="6">
        <f t="shared" si="11"/>
        <v>1</v>
      </c>
      <c r="L354" t="s">
        <v>64</v>
      </c>
      <c r="M354">
        <f t="shared" si="10"/>
        <v>7</v>
      </c>
      <c r="N354" t="s">
        <v>104</v>
      </c>
      <c r="O354" t="s">
        <v>103</v>
      </c>
      <c r="P354" s="2">
        <v>294</v>
      </c>
      <c r="Q354" t="s">
        <v>29</v>
      </c>
      <c r="R354" t="s">
        <v>42</v>
      </c>
      <c r="S354" t="s">
        <v>50</v>
      </c>
      <c r="T354" t="s">
        <v>43</v>
      </c>
    </row>
    <row r="355" spans="1:20" x14ac:dyDescent="0.25">
      <c r="A355" s="2">
        <v>354</v>
      </c>
      <c r="B355" s="2">
        <v>99703</v>
      </c>
      <c r="C355" t="s">
        <v>60</v>
      </c>
      <c r="D355" t="s">
        <v>52</v>
      </c>
      <c r="E355" t="s">
        <v>20</v>
      </c>
      <c r="F355" t="s">
        <v>21</v>
      </c>
      <c r="G355" t="s">
        <v>45</v>
      </c>
      <c r="H355" t="s">
        <v>23</v>
      </c>
      <c r="I355" t="s">
        <v>24</v>
      </c>
      <c r="J355" t="s">
        <v>25</v>
      </c>
      <c r="K355" s="6">
        <f t="shared" si="11"/>
        <v>2.4</v>
      </c>
      <c r="L355" t="s">
        <v>49</v>
      </c>
      <c r="M355">
        <f t="shared" si="10"/>
        <v>3</v>
      </c>
      <c r="N355" t="s">
        <v>40</v>
      </c>
      <c r="O355" t="s">
        <v>103</v>
      </c>
      <c r="P355" s="2">
        <v>677</v>
      </c>
      <c r="Q355" t="s">
        <v>104</v>
      </c>
      <c r="R355" t="s">
        <v>75</v>
      </c>
      <c r="S355" t="s">
        <v>50</v>
      </c>
      <c r="T355" t="s">
        <v>32</v>
      </c>
    </row>
    <row r="356" spans="1:20" x14ac:dyDescent="0.25">
      <c r="A356" s="2">
        <v>355</v>
      </c>
      <c r="B356" s="2">
        <v>32462</v>
      </c>
      <c r="C356" t="s">
        <v>19</v>
      </c>
      <c r="D356" t="s">
        <v>52</v>
      </c>
      <c r="E356" t="s">
        <v>99</v>
      </c>
      <c r="F356" t="s">
        <v>100</v>
      </c>
      <c r="G356" t="s">
        <v>36</v>
      </c>
      <c r="H356" t="s">
        <v>46</v>
      </c>
      <c r="I356" t="s">
        <v>24</v>
      </c>
      <c r="J356" t="s">
        <v>39</v>
      </c>
      <c r="K356" s="6">
        <f t="shared" si="11"/>
        <v>2.4</v>
      </c>
      <c r="L356" t="s">
        <v>64</v>
      </c>
      <c r="M356">
        <f t="shared" si="10"/>
        <v>7</v>
      </c>
      <c r="N356" t="s">
        <v>27</v>
      </c>
      <c r="O356" t="s">
        <v>103</v>
      </c>
      <c r="P356" s="2">
        <v>490</v>
      </c>
      <c r="Q356" t="s">
        <v>74</v>
      </c>
      <c r="R356" t="s">
        <v>75</v>
      </c>
      <c r="S356" t="s">
        <v>31</v>
      </c>
      <c r="T356" t="s">
        <v>32</v>
      </c>
    </row>
    <row r="357" spans="1:20" x14ac:dyDescent="0.25">
      <c r="A357" s="2">
        <v>356</v>
      </c>
      <c r="B357" s="2">
        <v>99014</v>
      </c>
      <c r="C357" t="s">
        <v>51</v>
      </c>
      <c r="D357" t="s">
        <v>52</v>
      </c>
      <c r="E357" t="s">
        <v>61</v>
      </c>
      <c r="F357" t="s">
        <v>62</v>
      </c>
      <c r="G357" t="s">
        <v>55</v>
      </c>
      <c r="H357" t="s">
        <v>46</v>
      </c>
      <c r="I357" t="s">
        <v>38</v>
      </c>
      <c r="J357" t="s">
        <v>57</v>
      </c>
      <c r="K357" s="6">
        <f t="shared" si="11"/>
        <v>2</v>
      </c>
      <c r="L357" t="s">
        <v>64</v>
      </c>
      <c r="M357">
        <f t="shared" si="10"/>
        <v>7</v>
      </c>
      <c r="N357" t="s">
        <v>40</v>
      </c>
      <c r="O357" t="s">
        <v>103</v>
      </c>
      <c r="P357" s="2">
        <v>526</v>
      </c>
      <c r="Q357" t="s">
        <v>41</v>
      </c>
      <c r="R357" t="s">
        <v>75</v>
      </c>
      <c r="S357" t="s">
        <v>31</v>
      </c>
      <c r="T357" t="s">
        <v>59</v>
      </c>
    </row>
    <row r="358" spans="1:20" x14ac:dyDescent="0.25">
      <c r="A358" s="2">
        <v>357</v>
      </c>
      <c r="B358" s="2">
        <v>95995</v>
      </c>
      <c r="C358" t="s">
        <v>33</v>
      </c>
      <c r="D358" t="s">
        <v>52</v>
      </c>
      <c r="E358" t="s">
        <v>20</v>
      </c>
      <c r="F358" t="s">
        <v>21</v>
      </c>
      <c r="G358" t="s">
        <v>98</v>
      </c>
      <c r="H358" t="s">
        <v>73</v>
      </c>
      <c r="I358" t="s">
        <v>94</v>
      </c>
      <c r="J358" t="s">
        <v>57</v>
      </c>
      <c r="K358" s="6">
        <f t="shared" si="11"/>
        <v>0.375</v>
      </c>
      <c r="L358" t="s">
        <v>64</v>
      </c>
      <c r="M358">
        <f t="shared" si="10"/>
        <v>7</v>
      </c>
      <c r="N358" t="s">
        <v>27</v>
      </c>
      <c r="O358" t="s">
        <v>102</v>
      </c>
      <c r="P358" s="2">
        <v>1448</v>
      </c>
      <c r="Q358" t="s">
        <v>41</v>
      </c>
      <c r="R358" t="s">
        <v>68</v>
      </c>
      <c r="S358" t="s">
        <v>50</v>
      </c>
      <c r="T358" t="s">
        <v>32</v>
      </c>
    </row>
    <row r="359" spans="1:20" x14ac:dyDescent="0.25">
      <c r="A359" s="2">
        <v>358</v>
      </c>
      <c r="B359" s="2">
        <v>60845</v>
      </c>
      <c r="C359" t="s">
        <v>51</v>
      </c>
      <c r="D359" t="s">
        <v>52</v>
      </c>
      <c r="E359" t="s">
        <v>34</v>
      </c>
      <c r="F359" t="s">
        <v>35</v>
      </c>
      <c r="G359" t="s">
        <v>70</v>
      </c>
      <c r="H359" t="s">
        <v>73</v>
      </c>
      <c r="I359" t="s">
        <v>83</v>
      </c>
      <c r="J359" t="s">
        <v>39</v>
      </c>
      <c r="K359" s="6">
        <f t="shared" si="11"/>
        <v>2.2000000000000002</v>
      </c>
      <c r="L359" t="s">
        <v>26</v>
      </c>
      <c r="M359">
        <f t="shared" si="10"/>
        <v>1</v>
      </c>
      <c r="N359" t="s">
        <v>104</v>
      </c>
      <c r="O359" t="s">
        <v>103</v>
      </c>
      <c r="P359" s="2">
        <v>1016</v>
      </c>
      <c r="Q359" t="s">
        <v>104</v>
      </c>
      <c r="R359" t="s">
        <v>30</v>
      </c>
      <c r="S359" t="s">
        <v>58</v>
      </c>
      <c r="T359" t="s">
        <v>43</v>
      </c>
    </row>
    <row r="360" spans="1:20" x14ac:dyDescent="0.25">
      <c r="A360" s="2">
        <v>359</v>
      </c>
      <c r="B360" s="2">
        <v>52108</v>
      </c>
      <c r="C360" t="s">
        <v>19</v>
      </c>
      <c r="D360" t="s">
        <v>66</v>
      </c>
      <c r="E360" t="s">
        <v>87</v>
      </c>
      <c r="F360" t="s">
        <v>88</v>
      </c>
      <c r="G360" t="s">
        <v>22</v>
      </c>
      <c r="H360" t="s">
        <v>23</v>
      </c>
      <c r="I360" t="s">
        <v>24</v>
      </c>
      <c r="J360" t="s">
        <v>25</v>
      </c>
      <c r="K360" s="6">
        <f t="shared" si="11"/>
        <v>1.2</v>
      </c>
      <c r="L360" t="s">
        <v>64</v>
      </c>
      <c r="M360">
        <f t="shared" si="10"/>
        <v>7</v>
      </c>
      <c r="N360" t="s">
        <v>27</v>
      </c>
      <c r="O360" t="s">
        <v>102</v>
      </c>
      <c r="P360" s="2">
        <v>746</v>
      </c>
      <c r="Q360" t="s">
        <v>29</v>
      </c>
      <c r="R360" t="s">
        <v>42</v>
      </c>
      <c r="S360" t="s">
        <v>50</v>
      </c>
      <c r="T360" t="s">
        <v>59</v>
      </c>
    </row>
    <row r="361" spans="1:20" x14ac:dyDescent="0.25">
      <c r="A361" s="2">
        <v>360</v>
      </c>
      <c r="B361" s="2">
        <v>46884</v>
      </c>
      <c r="C361" t="s">
        <v>51</v>
      </c>
      <c r="D361" t="s">
        <v>52</v>
      </c>
      <c r="E361" t="s">
        <v>89</v>
      </c>
      <c r="F361" t="s">
        <v>90</v>
      </c>
      <c r="G361" t="s">
        <v>36</v>
      </c>
      <c r="H361" t="s">
        <v>71</v>
      </c>
      <c r="I361" t="s">
        <v>83</v>
      </c>
      <c r="J361" t="s">
        <v>39</v>
      </c>
      <c r="K361" s="6">
        <f t="shared" si="11"/>
        <v>0.55000000000000004</v>
      </c>
      <c r="L361" t="s">
        <v>49</v>
      </c>
      <c r="M361">
        <f t="shared" si="10"/>
        <v>3</v>
      </c>
      <c r="N361" t="s">
        <v>27</v>
      </c>
      <c r="O361" t="s">
        <v>102</v>
      </c>
      <c r="P361" s="2">
        <v>286</v>
      </c>
      <c r="Q361" t="s">
        <v>41</v>
      </c>
      <c r="R361" t="s">
        <v>68</v>
      </c>
      <c r="S361" t="s">
        <v>58</v>
      </c>
      <c r="T361" t="s">
        <v>59</v>
      </c>
    </row>
    <row r="362" spans="1:20" x14ac:dyDescent="0.25">
      <c r="A362" s="2">
        <v>361</v>
      </c>
      <c r="B362" s="2">
        <v>83492</v>
      </c>
      <c r="C362" t="s">
        <v>60</v>
      </c>
      <c r="D362" t="s">
        <v>52</v>
      </c>
      <c r="E362" t="s">
        <v>87</v>
      </c>
      <c r="F362" t="s">
        <v>88</v>
      </c>
      <c r="G362" t="s">
        <v>81</v>
      </c>
      <c r="H362" t="s">
        <v>46</v>
      </c>
      <c r="I362" t="s">
        <v>91</v>
      </c>
      <c r="J362" t="s">
        <v>25</v>
      </c>
      <c r="K362" s="6">
        <f t="shared" si="11"/>
        <v>2.2000000000000002</v>
      </c>
      <c r="L362" t="s">
        <v>64</v>
      </c>
      <c r="M362">
        <f t="shared" si="10"/>
        <v>7</v>
      </c>
      <c r="N362" t="s">
        <v>40</v>
      </c>
      <c r="O362" t="s">
        <v>103</v>
      </c>
      <c r="P362" s="2">
        <v>539</v>
      </c>
      <c r="Q362" t="s">
        <v>104</v>
      </c>
      <c r="R362" t="s">
        <v>75</v>
      </c>
      <c r="S362" t="s">
        <v>31</v>
      </c>
      <c r="T362" t="s">
        <v>59</v>
      </c>
    </row>
    <row r="363" spans="1:20" x14ac:dyDescent="0.25">
      <c r="A363" s="2">
        <v>362</v>
      </c>
      <c r="B363" s="2">
        <v>84811</v>
      </c>
      <c r="C363" t="s">
        <v>33</v>
      </c>
      <c r="D363" t="s">
        <v>66</v>
      </c>
      <c r="E363" t="s">
        <v>79</v>
      </c>
      <c r="F363" t="s">
        <v>80</v>
      </c>
      <c r="G363" t="s">
        <v>92</v>
      </c>
      <c r="H363" t="s">
        <v>37</v>
      </c>
      <c r="I363" t="s">
        <v>24</v>
      </c>
      <c r="J363" t="s">
        <v>25</v>
      </c>
      <c r="K363" s="6">
        <f t="shared" si="11"/>
        <v>2.4</v>
      </c>
      <c r="L363" t="s">
        <v>64</v>
      </c>
      <c r="M363">
        <f t="shared" si="10"/>
        <v>7</v>
      </c>
      <c r="N363" t="s">
        <v>27</v>
      </c>
      <c r="O363" t="s">
        <v>28</v>
      </c>
      <c r="P363" s="2">
        <v>2449</v>
      </c>
      <c r="Q363" t="s">
        <v>74</v>
      </c>
      <c r="R363" t="s">
        <v>30</v>
      </c>
      <c r="S363" t="s">
        <v>50</v>
      </c>
      <c r="T363" t="s">
        <v>43</v>
      </c>
    </row>
    <row r="364" spans="1:20" x14ac:dyDescent="0.25">
      <c r="A364" s="2">
        <v>363</v>
      </c>
      <c r="B364" s="2">
        <v>24652</v>
      </c>
      <c r="C364" t="s">
        <v>51</v>
      </c>
      <c r="D364" t="s">
        <v>66</v>
      </c>
      <c r="E364" t="s">
        <v>44</v>
      </c>
      <c r="F364" t="s">
        <v>44</v>
      </c>
      <c r="G364" t="s">
        <v>55</v>
      </c>
      <c r="H364" t="s">
        <v>71</v>
      </c>
      <c r="I364" t="s">
        <v>24</v>
      </c>
      <c r="J364" t="s">
        <v>39</v>
      </c>
      <c r="K364" s="6">
        <f t="shared" si="11"/>
        <v>0.6</v>
      </c>
      <c r="L364" t="s">
        <v>49</v>
      </c>
      <c r="M364">
        <f t="shared" si="10"/>
        <v>3</v>
      </c>
      <c r="N364" t="s">
        <v>27</v>
      </c>
      <c r="O364" t="s">
        <v>65</v>
      </c>
      <c r="P364" s="2">
        <v>269</v>
      </c>
      <c r="Q364" t="s">
        <v>74</v>
      </c>
      <c r="R364" t="s">
        <v>68</v>
      </c>
      <c r="S364" t="s">
        <v>50</v>
      </c>
      <c r="T364" t="s">
        <v>43</v>
      </c>
    </row>
    <row r="365" spans="1:20" x14ac:dyDescent="0.25">
      <c r="A365" s="2">
        <v>364</v>
      </c>
      <c r="B365" s="2">
        <v>31178</v>
      </c>
      <c r="C365" t="s">
        <v>19</v>
      </c>
      <c r="D365" t="s">
        <v>66</v>
      </c>
      <c r="E365" t="s">
        <v>95</v>
      </c>
      <c r="F365" t="s">
        <v>21</v>
      </c>
      <c r="G365" t="s">
        <v>36</v>
      </c>
      <c r="H365" t="s">
        <v>23</v>
      </c>
      <c r="I365" t="s">
        <v>47</v>
      </c>
      <c r="J365" t="s">
        <v>57</v>
      </c>
      <c r="K365" s="6">
        <f t="shared" si="11"/>
        <v>2.5</v>
      </c>
      <c r="L365" t="s">
        <v>64</v>
      </c>
      <c r="M365">
        <f t="shared" si="10"/>
        <v>7</v>
      </c>
      <c r="N365" t="s">
        <v>40</v>
      </c>
      <c r="O365" t="s">
        <v>72</v>
      </c>
      <c r="P365" s="2">
        <v>897</v>
      </c>
      <c r="Q365" t="s">
        <v>74</v>
      </c>
      <c r="R365" t="s">
        <v>30</v>
      </c>
      <c r="S365" t="s">
        <v>31</v>
      </c>
      <c r="T365" t="s">
        <v>43</v>
      </c>
    </row>
    <row r="366" spans="1:20" x14ac:dyDescent="0.25">
      <c r="A366" s="2">
        <v>365</v>
      </c>
      <c r="B366" s="2">
        <v>29226</v>
      </c>
      <c r="C366" t="s">
        <v>51</v>
      </c>
      <c r="D366" t="s">
        <v>66</v>
      </c>
      <c r="E366" t="s">
        <v>89</v>
      </c>
      <c r="F366" t="s">
        <v>90</v>
      </c>
      <c r="G366" t="s">
        <v>55</v>
      </c>
      <c r="H366" t="s">
        <v>23</v>
      </c>
      <c r="I366" t="s">
        <v>83</v>
      </c>
      <c r="J366" t="s">
        <v>57</v>
      </c>
      <c r="K366" s="6">
        <f t="shared" si="11"/>
        <v>2.2000000000000002</v>
      </c>
      <c r="L366" t="s">
        <v>64</v>
      </c>
      <c r="M366">
        <f t="shared" si="10"/>
        <v>7</v>
      </c>
      <c r="N366" t="s">
        <v>40</v>
      </c>
      <c r="O366" t="s">
        <v>82</v>
      </c>
      <c r="P366" s="2">
        <v>522</v>
      </c>
      <c r="Q366" t="s">
        <v>104</v>
      </c>
      <c r="R366" t="s">
        <v>30</v>
      </c>
      <c r="S366" t="s">
        <v>69</v>
      </c>
      <c r="T366" t="s">
        <v>59</v>
      </c>
    </row>
    <row r="367" spans="1:20" x14ac:dyDescent="0.25">
      <c r="A367" s="2">
        <v>366</v>
      </c>
      <c r="B367" s="2">
        <v>82287</v>
      </c>
      <c r="C367" t="s">
        <v>33</v>
      </c>
      <c r="D367" t="s">
        <v>52</v>
      </c>
      <c r="E367" t="s">
        <v>76</v>
      </c>
      <c r="F367" t="s">
        <v>77</v>
      </c>
      <c r="G367" t="s">
        <v>81</v>
      </c>
      <c r="H367" t="s">
        <v>73</v>
      </c>
      <c r="I367" t="s">
        <v>94</v>
      </c>
      <c r="J367" t="s">
        <v>57</v>
      </c>
      <c r="K367" s="6">
        <f t="shared" si="11"/>
        <v>0.375</v>
      </c>
      <c r="L367" t="s">
        <v>64</v>
      </c>
      <c r="M367">
        <f t="shared" si="10"/>
        <v>7</v>
      </c>
      <c r="N367" t="s">
        <v>104</v>
      </c>
      <c r="O367" t="s">
        <v>103</v>
      </c>
      <c r="P367" s="2">
        <v>1279</v>
      </c>
      <c r="Q367" t="s">
        <v>41</v>
      </c>
      <c r="R367" t="s">
        <v>68</v>
      </c>
      <c r="S367" t="s">
        <v>50</v>
      </c>
      <c r="T367" t="s">
        <v>43</v>
      </c>
    </row>
    <row r="368" spans="1:20" x14ac:dyDescent="0.25">
      <c r="A368" s="2">
        <v>367</v>
      </c>
      <c r="B368" s="2">
        <v>58393</v>
      </c>
      <c r="C368" t="s">
        <v>19</v>
      </c>
      <c r="D368" t="s">
        <v>52</v>
      </c>
      <c r="E368" t="s">
        <v>95</v>
      </c>
      <c r="F368" t="s">
        <v>21</v>
      </c>
      <c r="G368" t="s">
        <v>81</v>
      </c>
      <c r="H368" t="s">
        <v>23</v>
      </c>
      <c r="I368" t="s">
        <v>91</v>
      </c>
      <c r="J368" t="s">
        <v>25</v>
      </c>
      <c r="K368" s="6">
        <f t="shared" si="11"/>
        <v>1.1000000000000001</v>
      </c>
      <c r="L368" t="s">
        <v>64</v>
      </c>
      <c r="M368">
        <f t="shared" si="10"/>
        <v>7</v>
      </c>
      <c r="N368" t="s">
        <v>27</v>
      </c>
      <c r="O368" t="s">
        <v>28</v>
      </c>
      <c r="P368" s="2">
        <v>575</v>
      </c>
      <c r="Q368" t="s">
        <v>41</v>
      </c>
      <c r="R368" t="s">
        <v>42</v>
      </c>
      <c r="S368" t="s">
        <v>58</v>
      </c>
      <c r="T368" t="s">
        <v>43</v>
      </c>
    </row>
    <row r="369" spans="1:20" x14ac:dyDescent="0.25">
      <c r="A369" s="2">
        <v>368</v>
      </c>
      <c r="B369" s="2">
        <v>79293</v>
      </c>
      <c r="C369" t="s">
        <v>33</v>
      </c>
      <c r="D369" t="s">
        <v>66</v>
      </c>
      <c r="E369" t="s">
        <v>101</v>
      </c>
      <c r="F369" t="s">
        <v>80</v>
      </c>
      <c r="G369" t="s">
        <v>45</v>
      </c>
      <c r="H369" t="s">
        <v>37</v>
      </c>
      <c r="I369" t="s">
        <v>24</v>
      </c>
      <c r="J369" t="s">
        <v>57</v>
      </c>
      <c r="K369" s="6">
        <f t="shared" si="11"/>
        <v>2.4</v>
      </c>
      <c r="L369" t="s">
        <v>49</v>
      </c>
      <c r="M369">
        <f t="shared" si="10"/>
        <v>3</v>
      </c>
      <c r="N369" t="s">
        <v>27</v>
      </c>
      <c r="O369" t="s">
        <v>82</v>
      </c>
      <c r="P369" s="2">
        <v>2968</v>
      </c>
      <c r="Q369" t="s">
        <v>41</v>
      </c>
      <c r="R369" t="s">
        <v>75</v>
      </c>
      <c r="S369" t="s">
        <v>58</v>
      </c>
      <c r="T369" t="s">
        <v>32</v>
      </c>
    </row>
    <row r="370" spans="1:20" x14ac:dyDescent="0.25">
      <c r="A370" s="2">
        <v>369</v>
      </c>
      <c r="B370" s="2">
        <v>79221</v>
      </c>
      <c r="C370" t="s">
        <v>51</v>
      </c>
      <c r="D370" t="s">
        <v>52</v>
      </c>
      <c r="E370" t="s">
        <v>34</v>
      </c>
      <c r="F370" t="s">
        <v>35</v>
      </c>
      <c r="G370" t="s">
        <v>36</v>
      </c>
      <c r="H370" t="s">
        <v>46</v>
      </c>
      <c r="I370" t="s">
        <v>24</v>
      </c>
      <c r="J370" t="s">
        <v>57</v>
      </c>
      <c r="K370" s="6">
        <f t="shared" si="11"/>
        <v>2.4</v>
      </c>
      <c r="L370" t="s">
        <v>49</v>
      </c>
      <c r="M370">
        <f t="shared" si="10"/>
        <v>3</v>
      </c>
      <c r="N370" t="s">
        <v>40</v>
      </c>
      <c r="O370" t="s">
        <v>65</v>
      </c>
      <c r="P370" s="2">
        <v>579</v>
      </c>
      <c r="Q370" t="s">
        <v>41</v>
      </c>
      <c r="R370" t="s">
        <v>75</v>
      </c>
      <c r="S370" t="s">
        <v>69</v>
      </c>
      <c r="T370" t="s">
        <v>43</v>
      </c>
    </row>
    <row r="371" spans="1:20" x14ac:dyDescent="0.25">
      <c r="A371" s="2">
        <v>370</v>
      </c>
      <c r="B371" s="2">
        <v>43834</v>
      </c>
      <c r="C371" t="s">
        <v>33</v>
      </c>
      <c r="D371" t="s">
        <v>52</v>
      </c>
      <c r="E371" t="s">
        <v>44</v>
      </c>
      <c r="F371" t="s">
        <v>44</v>
      </c>
      <c r="G371" t="s">
        <v>55</v>
      </c>
      <c r="H371" t="s">
        <v>46</v>
      </c>
      <c r="I371" t="s">
        <v>83</v>
      </c>
      <c r="J371" t="s">
        <v>25</v>
      </c>
      <c r="K371" s="6">
        <f t="shared" si="11"/>
        <v>2.2000000000000002</v>
      </c>
      <c r="L371" t="s">
        <v>64</v>
      </c>
      <c r="M371">
        <f t="shared" si="10"/>
        <v>7</v>
      </c>
      <c r="N371" t="s">
        <v>27</v>
      </c>
      <c r="O371" t="s">
        <v>28</v>
      </c>
      <c r="P371" s="2">
        <v>410</v>
      </c>
      <c r="Q371" t="s">
        <v>104</v>
      </c>
      <c r="R371" t="s">
        <v>75</v>
      </c>
      <c r="S371" t="s">
        <v>58</v>
      </c>
      <c r="T371" t="s">
        <v>43</v>
      </c>
    </row>
    <row r="372" spans="1:20" x14ac:dyDescent="0.25">
      <c r="A372" s="2">
        <v>371</v>
      </c>
      <c r="B372" s="2">
        <v>99439</v>
      </c>
      <c r="C372" t="s">
        <v>33</v>
      </c>
      <c r="D372" t="s">
        <v>52</v>
      </c>
      <c r="E372" t="s">
        <v>34</v>
      </c>
      <c r="F372" t="s">
        <v>35</v>
      </c>
      <c r="G372" t="s">
        <v>22</v>
      </c>
      <c r="H372" t="s">
        <v>73</v>
      </c>
      <c r="I372" t="s">
        <v>94</v>
      </c>
      <c r="J372" t="s">
        <v>57</v>
      </c>
      <c r="K372" s="6">
        <f t="shared" si="11"/>
        <v>1.5</v>
      </c>
      <c r="L372" t="s">
        <v>64</v>
      </c>
      <c r="M372">
        <f t="shared" si="10"/>
        <v>7</v>
      </c>
      <c r="N372" t="s">
        <v>27</v>
      </c>
      <c r="O372" t="s">
        <v>103</v>
      </c>
      <c r="P372" s="2">
        <v>1173</v>
      </c>
      <c r="Q372" t="s">
        <v>104</v>
      </c>
      <c r="R372" t="s">
        <v>75</v>
      </c>
      <c r="S372" t="s">
        <v>58</v>
      </c>
      <c r="T372" t="s">
        <v>43</v>
      </c>
    </row>
    <row r="373" spans="1:20" x14ac:dyDescent="0.25">
      <c r="A373" s="2">
        <v>372</v>
      </c>
      <c r="B373" s="2">
        <v>49983</v>
      </c>
      <c r="C373" t="s">
        <v>33</v>
      </c>
      <c r="D373" t="s">
        <v>52</v>
      </c>
      <c r="E373" t="s">
        <v>76</v>
      </c>
      <c r="F373" t="s">
        <v>77</v>
      </c>
      <c r="G373" t="s">
        <v>63</v>
      </c>
      <c r="H373" t="s">
        <v>73</v>
      </c>
      <c r="I373" t="s">
        <v>47</v>
      </c>
      <c r="J373" t="s">
        <v>48</v>
      </c>
      <c r="K373" s="6">
        <f t="shared" si="11"/>
        <v>1.25</v>
      </c>
      <c r="L373" t="s">
        <v>64</v>
      </c>
      <c r="M373">
        <f t="shared" si="10"/>
        <v>7</v>
      </c>
      <c r="N373" t="s">
        <v>104</v>
      </c>
      <c r="O373" t="s">
        <v>28</v>
      </c>
      <c r="P373" s="2">
        <v>1023</v>
      </c>
      <c r="Q373" t="s">
        <v>29</v>
      </c>
      <c r="R373" t="s">
        <v>42</v>
      </c>
      <c r="S373" t="s">
        <v>58</v>
      </c>
      <c r="T373" t="s">
        <v>43</v>
      </c>
    </row>
    <row r="374" spans="1:20" x14ac:dyDescent="0.25">
      <c r="A374" s="2">
        <v>373</v>
      </c>
      <c r="B374" s="2">
        <v>51804</v>
      </c>
      <c r="C374" t="s">
        <v>51</v>
      </c>
      <c r="D374" t="s">
        <v>52</v>
      </c>
      <c r="E374" t="s">
        <v>34</v>
      </c>
      <c r="F374" t="s">
        <v>35</v>
      </c>
      <c r="G374" t="s">
        <v>92</v>
      </c>
      <c r="H374" t="s">
        <v>71</v>
      </c>
      <c r="I374" t="s">
        <v>24</v>
      </c>
      <c r="J374" t="s">
        <v>48</v>
      </c>
      <c r="K374" s="6">
        <f t="shared" si="11"/>
        <v>0.6</v>
      </c>
      <c r="L374" t="s">
        <v>26</v>
      </c>
      <c r="M374">
        <f t="shared" si="10"/>
        <v>1</v>
      </c>
      <c r="N374" t="s">
        <v>27</v>
      </c>
      <c r="O374" t="s">
        <v>103</v>
      </c>
      <c r="P374" s="2">
        <v>395</v>
      </c>
      <c r="Q374" t="s">
        <v>41</v>
      </c>
      <c r="R374" t="s">
        <v>68</v>
      </c>
      <c r="S374" t="s">
        <v>31</v>
      </c>
      <c r="T374" t="s">
        <v>43</v>
      </c>
    </row>
    <row r="375" spans="1:20" x14ac:dyDescent="0.25">
      <c r="A375" s="2">
        <v>374</v>
      </c>
      <c r="B375" s="2">
        <v>90824</v>
      </c>
      <c r="C375" t="s">
        <v>51</v>
      </c>
      <c r="D375" t="s">
        <v>52</v>
      </c>
      <c r="E375" t="s">
        <v>97</v>
      </c>
      <c r="F375" t="s">
        <v>62</v>
      </c>
      <c r="G375" t="s">
        <v>81</v>
      </c>
      <c r="H375" t="s">
        <v>46</v>
      </c>
      <c r="I375" t="s">
        <v>91</v>
      </c>
      <c r="J375" t="s">
        <v>57</v>
      </c>
      <c r="K375" s="6">
        <f t="shared" si="11"/>
        <v>1.1000000000000001</v>
      </c>
      <c r="L375" t="s">
        <v>49</v>
      </c>
      <c r="M375">
        <f t="shared" si="10"/>
        <v>3</v>
      </c>
      <c r="N375" t="s">
        <v>27</v>
      </c>
      <c r="O375" t="s">
        <v>65</v>
      </c>
      <c r="P375" s="2">
        <v>284</v>
      </c>
      <c r="Q375" t="s">
        <v>74</v>
      </c>
      <c r="R375" t="s">
        <v>42</v>
      </c>
      <c r="S375" t="s">
        <v>50</v>
      </c>
      <c r="T375" t="s">
        <v>59</v>
      </c>
    </row>
    <row r="376" spans="1:20" x14ac:dyDescent="0.25">
      <c r="A376" s="2">
        <v>375</v>
      </c>
      <c r="B376" s="2">
        <v>44984</v>
      </c>
      <c r="C376" t="s">
        <v>33</v>
      </c>
      <c r="D376" t="s">
        <v>66</v>
      </c>
      <c r="E376" t="s">
        <v>89</v>
      </c>
      <c r="F376" t="s">
        <v>90</v>
      </c>
      <c r="G376" t="s">
        <v>78</v>
      </c>
      <c r="H376" t="s">
        <v>73</v>
      </c>
      <c r="I376" t="s">
        <v>83</v>
      </c>
      <c r="J376" t="s">
        <v>57</v>
      </c>
      <c r="K376" s="6">
        <f t="shared" si="11"/>
        <v>2.2000000000000002</v>
      </c>
      <c r="L376" t="s">
        <v>49</v>
      </c>
      <c r="M376">
        <f t="shared" si="10"/>
        <v>3</v>
      </c>
      <c r="N376" t="s">
        <v>27</v>
      </c>
      <c r="O376" t="s">
        <v>103</v>
      </c>
      <c r="P376" s="2">
        <v>823</v>
      </c>
      <c r="Q376" t="s">
        <v>41</v>
      </c>
      <c r="R376" t="s">
        <v>75</v>
      </c>
      <c r="S376" t="s">
        <v>50</v>
      </c>
      <c r="T376" t="s">
        <v>59</v>
      </c>
    </row>
    <row r="377" spans="1:20" x14ac:dyDescent="0.25">
      <c r="A377" s="2">
        <v>376</v>
      </c>
      <c r="B377" s="2">
        <v>86762</v>
      </c>
      <c r="C377" t="s">
        <v>96</v>
      </c>
      <c r="D377" t="s">
        <v>52</v>
      </c>
      <c r="E377" t="s">
        <v>93</v>
      </c>
      <c r="F377" t="s">
        <v>62</v>
      </c>
      <c r="G377" t="s">
        <v>70</v>
      </c>
      <c r="H377" t="s">
        <v>73</v>
      </c>
      <c r="I377" t="s">
        <v>67</v>
      </c>
      <c r="J377" t="s">
        <v>57</v>
      </c>
      <c r="K377" s="6">
        <f t="shared" si="11"/>
        <v>2.2000000000000002</v>
      </c>
      <c r="L377" t="s">
        <v>26</v>
      </c>
      <c r="M377">
        <f t="shared" si="10"/>
        <v>1</v>
      </c>
      <c r="N377" t="s">
        <v>27</v>
      </c>
      <c r="O377" t="s">
        <v>102</v>
      </c>
      <c r="P377" s="2">
        <v>902</v>
      </c>
      <c r="Q377" t="s">
        <v>104</v>
      </c>
      <c r="R377" t="s">
        <v>75</v>
      </c>
      <c r="S377" t="s">
        <v>31</v>
      </c>
      <c r="T377" t="s">
        <v>43</v>
      </c>
    </row>
    <row r="378" spans="1:20" x14ac:dyDescent="0.25">
      <c r="A378" s="2">
        <v>377</v>
      </c>
      <c r="B378" s="2">
        <v>37379</v>
      </c>
      <c r="C378" t="s">
        <v>19</v>
      </c>
      <c r="D378" t="s">
        <v>52</v>
      </c>
      <c r="E378" t="s">
        <v>101</v>
      </c>
      <c r="F378" t="s">
        <v>80</v>
      </c>
      <c r="G378" t="s">
        <v>36</v>
      </c>
      <c r="H378" t="s">
        <v>46</v>
      </c>
      <c r="I378" t="s">
        <v>24</v>
      </c>
      <c r="J378" t="s">
        <v>25</v>
      </c>
      <c r="K378" s="6">
        <f t="shared" si="11"/>
        <v>2.4</v>
      </c>
      <c r="L378" t="s">
        <v>26</v>
      </c>
      <c r="M378">
        <f t="shared" si="10"/>
        <v>1</v>
      </c>
      <c r="N378" t="s">
        <v>27</v>
      </c>
      <c r="O378" t="s">
        <v>102</v>
      </c>
      <c r="P378" s="2">
        <v>491</v>
      </c>
      <c r="Q378" t="s">
        <v>29</v>
      </c>
      <c r="R378" t="s">
        <v>75</v>
      </c>
      <c r="S378" t="s">
        <v>50</v>
      </c>
      <c r="T378" t="s">
        <v>32</v>
      </c>
    </row>
    <row r="379" spans="1:20" x14ac:dyDescent="0.25">
      <c r="A379" s="2">
        <v>378</v>
      </c>
      <c r="B379" s="2">
        <v>27435</v>
      </c>
      <c r="C379" t="s">
        <v>60</v>
      </c>
      <c r="D379" t="s">
        <v>66</v>
      </c>
      <c r="E379" t="s">
        <v>101</v>
      </c>
      <c r="F379" t="s">
        <v>80</v>
      </c>
      <c r="G379" t="s">
        <v>36</v>
      </c>
      <c r="H379" t="s">
        <v>23</v>
      </c>
      <c r="I379" t="s">
        <v>24</v>
      </c>
      <c r="J379" t="s">
        <v>25</v>
      </c>
      <c r="K379" s="6">
        <f t="shared" si="11"/>
        <v>1.2</v>
      </c>
      <c r="L379" t="s">
        <v>64</v>
      </c>
      <c r="M379">
        <f t="shared" si="10"/>
        <v>7</v>
      </c>
      <c r="N379" t="s">
        <v>40</v>
      </c>
      <c r="O379" t="s">
        <v>103</v>
      </c>
      <c r="P379" s="2">
        <v>599</v>
      </c>
      <c r="Q379" t="s">
        <v>74</v>
      </c>
      <c r="R379" t="s">
        <v>42</v>
      </c>
      <c r="S379" t="s">
        <v>50</v>
      </c>
      <c r="T379" t="s">
        <v>32</v>
      </c>
    </row>
    <row r="380" spans="1:20" x14ac:dyDescent="0.25">
      <c r="A380" s="2">
        <v>379</v>
      </c>
      <c r="B380" s="2">
        <v>58777</v>
      </c>
      <c r="C380" t="s">
        <v>51</v>
      </c>
      <c r="D380" t="s">
        <v>66</v>
      </c>
      <c r="E380" t="s">
        <v>76</v>
      </c>
      <c r="F380" t="s">
        <v>77</v>
      </c>
      <c r="G380" t="s">
        <v>45</v>
      </c>
      <c r="H380" t="s">
        <v>46</v>
      </c>
      <c r="I380" t="s">
        <v>47</v>
      </c>
      <c r="J380" t="s">
        <v>86</v>
      </c>
      <c r="K380" s="6">
        <f t="shared" si="11"/>
        <v>1.25</v>
      </c>
      <c r="L380" t="s">
        <v>64</v>
      </c>
      <c r="M380">
        <f t="shared" si="10"/>
        <v>7</v>
      </c>
      <c r="N380" t="s">
        <v>27</v>
      </c>
      <c r="O380" t="s">
        <v>65</v>
      </c>
      <c r="P380" s="2">
        <v>459</v>
      </c>
      <c r="Q380" t="s">
        <v>29</v>
      </c>
      <c r="R380" t="s">
        <v>42</v>
      </c>
      <c r="S380" t="s">
        <v>31</v>
      </c>
      <c r="T380" t="s">
        <v>43</v>
      </c>
    </row>
    <row r="381" spans="1:20" x14ac:dyDescent="0.25">
      <c r="A381" s="2">
        <v>380</v>
      </c>
      <c r="B381" s="2">
        <v>13458</v>
      </c>
      <c r="C381" t="s">
        <v>33</v>
      </c>
      <c r="D381" t="s">
        <v>52</v>
      </c>
      <c r="E381" t="s">
        <v>53</v>
      </c>
      <c r="F381" t="s">
        <v>54</v>
      </c>
      <c r="G381" t="s">
        <v>36</v>
      </c>
      <c r="H381" t="s">
        <v>23</v>
      </c>
      <c r="I381" t="s">
        <v>83</v>
      </c>
      <c r="J381" t="s">
        <v>39</v>
      </c>
      <c r="K381" s="6">
        <f t="shared" si="11"/>
        <v>2.2000000000000002</v>
      </c>
      <c r="L381" t="s">
        <v>64</v>
      </c>
      <c r="M381">
        <f t="shared" si="10"/>
        <v>7</v>
      </c>
      <c r="N381" t="s">
        <v>40</v>
      </c>
      <c r="O381" t="s">
        <v>65</v>
      </c>
      <c r="P381" s="2">
        <v>478</v>
      </c>
      <c r="Q381" t="s">
        <v>104</v>
      </c>
      <c r="R381" t="s">
        <v>75</v>
      </c>
      <c r="S381" t="s">
        <v>69</v>
      </c>
      <c r="T381" t="s">
        <v>59</v>
      </c>
    </row>
    <row r="382" spans="1:20" x14ac:dyDescent="0.25">
      <c r="A382" s="2">
        <v>381</v>
      </c>
      <c r="B382" s="2">
        <v>20095</v>
      </c>
      <c r="C382" t="s">
        <v>19</v>
      </c>
      <c r="D382" t="s">
        <v>66</v>
      </c>
      <c r="E382" t="s">
        <v>97</v>
      </c>
      <c r="F382" t="s">
        <v>62</v>
      </c>
      <c r="G382" t="s">
        <v>55</v>
      </c>
      <c r="H382" t="s">
        <v>46</v>
      </c>
      <c r="I382" t="s">
        <v>67</v>
      </c>
      <c r="J382" t="s">
        <v>57</v>
      </c>
      <c r="K382" s="6">
        <f t="shared" si="11"/>
        <v>2.2000000000000002</v>
      </c>
      <c r="L382" t="s">
        <v>49</v>
      </c>
      <c r="M382">
        <f t="shared" si="10"/>
        <v>3</v>
      </c>
      <c r="N382" t="s">
        <v>27</v>
      </c>
      <c r="O382" t="s">
        <v>102</v>
      </c>
      <c r="P382" s="2">
        <v>258</v>
      </c>
      <c r="Q382" t="s">
        <v>104</v>
      </c>
      <c r="R382" t="s">
        <v>75</v>
      </c>
      <c r="S382" t="s">
        <v>31</v>
      </c>
      <c r="T382" t="s">
        <v>59</v>
      </c>
    </row>
    <row r="383" spans="1:20" x14ac:dyDescent="0.25">
      <c r="A383" s="2">
        <v>382</v>
      </c>
      <c r="B383" s="2">
        <v>57144</v>
      </c>
      <c r="C383" t="s">
        <v>51</v>
      </c>
      <c r="D383" t="s">
        <v>52</v>
      </c>
      <c r="E383" t="s">
        <v>76</v>
      </c>
      <c r="F383" t="s">
        <v>77</v>
      </c>
      <c r="G383" t="s">
        <v>78</v>
      </c>
      <c r="H383" t="s">
        <v>46</v>
      </c>
      <c r="I383" t="s">
        <v>38</v>
      </c>
      <c r="J383" t="s">
        <v>57</v>
      </c>
      <c r="K383" s="6">
        <f t="shared" si="11"/>
        <v>0.5</v>
      </c>
      <c r="L383" t="s">
        <v>64</v>
      </c>
      <c r="M383">
        <f t="shared" si="10"/>
        <v>7</v>
      </c>
      <c r="N383" t="s">
        <v>27</v>
      </c>
      <c r="O383" t="s">
        <v>65</v>
      </c>
      <c r="P383" s="2">
        <v>491</v>
      </c>
      <c r="Q383" t="s">
        <v>104</v>
      </c>
      <c r="R383" t="s">
        <v>68</v>
      </c>
      <c r="S383" t="s">
        <v>50</v>
      </c>
      <c r="T383" t="s">
        <v>43</v>
      </c>
    </row>
    <row r="384" spans="1:20" x14ac:dyDescent="0.25">
      <c r="A384" s="2">
        <v>383</v>
      </c>
      <c r="B384" s="2">
        <v>53123</v>
      </c>
      <c r="C384" t="s">
        <v>19</v>
      </c>
      <c r="D384" t="s">
        <v>66</v>
      </c>
      <c r="E384" t="s">
        <v>34</v>
      </c>
      <c r="F384" t="s">
        <v>35</v>
      </c>
      <c r="G384" t="s">
        <v>81</v>
      </c>
      <c r="H384" t="s">
        <v>23</v>
      </c>
      <c r="I384" t="s">
        <v>83</v>
      </c>
      <c r="J384" t="s">
        <v>48</v>
      </c>
      <c r="K384" s="6">
        <f t="shared" si="11"/>
        <v>0.55000000000000004</v>
      </c>
      <c r="L384" t="s">
        <v>64</v>
      </c>
      <c r="M384">
        <f t="shared" si="10"/>
        <v>7</v>
      </c>
      <c r="N384" t="s">
        <v>104</v>
      </c>
      <c r="O384" t="s">
        <v>28</v>
      </c>
      <c r="P384" s="2">
        <v>754</v>
      </c>
      <c r="Q384" t="s">
        <v>29</v>
      </c>
      <c r="R384" t="s">
        <v>68</v>
      </c>
      <c r="S384" t="s">
        <v>31</v>
      </c>
      <c r="T384" t="s">
        <v>43</v>
      </c>
    </row>
    <row r="385" spans="1:20" x14ac:dyDescent="0.25">
      <c r="A385" s="2">
        <v>384</v>
      </c>
      <c r="B385" s="2">
        <v>80399</v>
      </c>
      <c r="C385" t="s">
        <v>33</v>
      </c>
      <c r="D385" t="s">
        <v>66</v>
      </c>
      <c r="E385" t="s">
        <v>61</v>
      </c>
      <c r="F385" t="s">
        <v>62</v>
      </c>
      <c r="G385" t="s">
        <v>81</v>
      </c>
      <c r="H385" t="s">
        <v>37</v>
      </c>
      <c r="I385" t="s">
        <v>91</v>
      </c>
      <c r="J385" t="s">
        <v>57</v>
      </c>
      <c r="K385" s="6">
        <f t="shared" si="11"/>
        <v>2.2000000000000002</v>
      </c>
      <c r="L385" t="s">
        <v>64</v>
      </c>
      <c r="M385">
        <f t="shared" si="10"/>
        <v>7</v>
      </c>
      <c r="N385" t="s">
        <v>104</v>
      </c>
      <c r="O385" t="s">
        <v>82</v>
      </c>
      <c r="P385" s="2">
        <v>1472</v>
      </c>
      <c r="Q385" t="s">
        <v>41</v>
      </c>
      <c r="R385" t="s">
        <v>75</v>
      </c>
      <c r="S385" t="s">
        <v>58</v>
      </c>
      <c r="T385" t="s">
        <v>59</v>
      </c>
    </row>
    <row r="386" spans="1:20" x14ac:dyDescent="0.25">
      <c r="A386" s="2">
        <v>385</v>
      </c>
      <c r="B386" s="2">
        <v>10313</v>
      </c>
      <c r="C386" t="s">
        <v>51</v>
      </c>
      <c r="D386" t="s">
        <v>66</v>
      </c>
      <c r="E386" t="s">
        <v>79</v>
      </c>
      <c r="F386" t="s">
        <v>80</v>
      </c>
      <c r="G386" t="s">
        <v>78</v>
      </c>
      <c r="H386" t="s">
        <v>46</v>
      </c>
      <c r="I386" t="s">
        <v>94</v>
      </c>
      <c r="J386" t="s">
        <v>57</v>
      </c>
      <c r="K386" s="6">
        <f t="shared" si="11"/>
        <v>1.5</v>
      </c>
      <c r="L386" t="s">
        <v>26</v>
      </c>
      <c r="M386">
        <f t="shared" ref="M386:M449" si="12">IF(L386="daily",7,IF(L386="weekly",3,1))</f>
        <v>1</v>
      </c>
      <c r="N386" t="s">
        <v>40</v>
      </c>
      <c r="O386" t="s">
        <v>103</v>
      </c>
      <c r="P386" s="2">
        <v>500</v>
      </c>
      <c r="Q386" t="s">
        <v>104</v>
      </c>
      <c r="R386" t="s">
        <v>75</v>
      </c>
      <c r="S386" t="s">
        <v>58</v>
      </c>
      <c r="T386" t="s">
        <v>43</v>
      </c>
    </row>
    <row r="387" spans="1:20" x14ac:dyDescent="0.25">
      <c r="A387" s="2">
        <v>386</v>
      </c>
      <c r="B387" s="2">
        <v>40166</v>
      </c>
      <c r="C387" t="s">
        <v>51</v>
      </c>
      <c r="D387" t="s">
        <v>66</v>
      </c>
      <c r="E387" t="s">
        <v>44</v>
      </c>
      <c r="F387" t="s">
        <v>44</v>
      </c>
      <c r="G387" t="s">
        <v>70</v>
      </c>
      <c r="H387" t="s">
        <v>23</v>
      </c>
      <c r="I387" t="s">
        <v>56</v>
      </c>
      <c r="J387" t="s">
        <v>57</v>
      </c>
      <c r="K387" s="6">
        <f t="shared" ref="K387:K450" si="13">IF(R387="Morning",2,IF(R387="Night",2,IF(R387="Evening",1,0.5)))
*
IF(I387="Espresso",0.75,IF(I387="Cold Brew",1.25,IF(I387="Filter Coffee",1.2,IF(I387="Instant Coffee",1,1.1))))</f>
        <v>2.2000000000000002</v>
      </c>
      <c r="L387" t="s">
        <v>64</v>
      </c>
      <c r="M387">
        <f t="shared" si="12"/>
        <v>7</v>
      </c>
      <c r="N387" t="s">
        <v>27</v>
      </c>
      <c r="O387" t="s">
        <v>82</v>
      </c>
      <c r="P387" s="2">
        <v>696</v>
      </c>
      <c r="Q387" t="s">
        <v>74</v>
      </c>
      <c r="R387" t="s">
        <v>30</v>
      </c>
      <c r="S387" t="s">
        <v>69</v>
      </c>
      <c r="T387" t="s">
        <v>43</v>
      </c>
    </row>
    <row r="388" spans="1:20" x14ac:dyDescent="0.25">
      <c r="A388" s="2">
        <v>387</v>
      </c>
      <c r="B388" s="2">
        <v>56644</v>
      </c>
      <c r="C388" t="s">
        <v>60</v>
      </c>
      <c r="D388" t="s">
        <v>52</v>
      </c>
      <c r="E388" t="s">
        <v>95</v>
      </c>
      <c r="F388" t="s">
        <v>21</v>
      </c>
      <c r="G388" t="s">
        <v>70</v>
      </c>
      <c r="H388" t="s">
        <v>46</v>
      </c>
      <c r="I388" t="s">
        <v>67</v>
      </c>
      <c r="J388" t="s">
        <v>57</v>
      </c>
      <c r="K388" s="6">
        <f t="shared" si="13"/>
        <v>0.55000000000000004</v>
      </c>
      <c r="L388" t="s">
        <v>26</v>
      </c>
      <c r="M388">
        <f t="shared" si="12"/>
        <v>1</v>
      </c>
      <c r="N388" t="s">
        <v>27</v>
      </c>
      <c r="O388" t="s">
        <v>103</v>
      </c>
      <c r="P388" s="2">
        <v>482</v>
      </c>
      <c r="Q388" t="s">
        <v>104</v>
      </c>
      <c r="R388" t="s">
        <v>68</v>
      </c>
      <c r="S388" t="s">
        <v>50</v>
      </c>
      <c r="T388" t="s">
        <v>43</v>
      </c>
    </row>
    <row r="389" spans="1:20" x14ac:dyDescent="0.25">
      <c r="A389" s="2">
        <v>388</v>
      </c>
      <c r="B389" s="2">
        <v>85177</v>
      </c>
      <c r="C389" t="s">
        <v>96</v>
      </c>
      <c r="D389" t="s">
        <v>52</v>
      </c>
      <c r="E389" t="s">
        <v>95</v>
      </c>
      <c r="F389" t="s">
        <v>21</v>
      </c>
      <c r="G389" t="s">
        <v>22</v>
      </c>
      <c r="H389" t="s">
        <v>23</v>
      </c>
      <c r="I389" t="s">
        <v>24</v>
      </c>
      <c r="J389" t="s">
        <v>25</v>
      </c>
      <c r="K389" s="6">
        <f t="shared" si="13"/>
        <v>1.2</v>
      </c>
      <c r="L389" t="s">
        <v>49</v>
      </c>
      <c r="M389">
        <f t="shared" si="12"/>
        <v>3</v>
      </c>
      <c r="N389" t="s">
        <v>104</v>
      </c>
      <c r="O389" t="s">
        <v>103</v>
      </c>
      <c r="P389" s="2">
        <v>846</v>
      </c>
      <c r="Q389" t="s">
        <v>29</v>
      </c>
      <c r="R389" t="s">
        <v>42</v>
      </c>
      <c r="S389" t="s">
        <v>50</v>
      </c>
      <c r="T389" t="s">
        <v>43</v>
      </c>
    </row>
    <row r="390" spans="1:20" x14ac:dyDescent="0.25">
      <c r="A390" s="2">
        <v>389</v>
      </c>
      <c r="B390" s="2">
        <v>10707</v>
      </c>
      <c r="C390" t="s">
        <v>60</v>
      </c>
      <c r="D390" t="s">
        <v>66</v>
      </c>
      <c r="E390" t="s">
        <v>34</v>
      </c>
      <c r="F390" t="s">
        <v>35</v>
      </c>
      <c r="G390" t="s">
        <v>36</v>
      </c>
      <c r="H390" t="s">
        <v>46</v>
      </c>
      <c r="I390" t="s">
        <v>38</v>
      </c>
      <c r="J390" t="s">
        <v>25</v>
      </c>
      <c r="K390" s="6">
        <f t="shared" si="13"/>
        <v>1</v>
      </c>
      <c r="L390" t="s">
        <v>64</v>
      </c>
      <c r="M390">
        <f t="shared" si="12"/>
        <v>7</v>
      </c>
      <c r="N390" t="s">
        <v>27</v>
      </c>
      <c r="O390" t="s">
        <v>103</v>
      </c>
      <c r="P390" s="2">
        <v>298</v>
      </c>
      <c r="Q390" t="s">
        <v>74</v>
      </c>
      <c r="R390" t="s">
        <v>42</v>
      </c>
      <c r="S390" t="s">
        <v>31</v>
      </c>
      <c r="T390" t="s">
        <v>43</v>
      </c>
    </row>
    <row r="391" spans="1:20" x14ac:dyDescent="0.25">
      <c r="A391" s="2">
        <v>390</v>
      </c>
      <c r="B391" s="2">
        <v>53793</v>
      </c>
      <c r="C391" t="s">
        <v>19</v>
      </c>
      <c r="D391" t="s">
        <v>66</v>
      </c>
      <c r="E391" t="s">
        <v>76</v>
      </c>
      <c r="F391" t="s">
        <v>77</v>
      </c>
      <c r="G391" t="s">
        <v>36</v>
      </c>
      <c r="H391" t="s">
        <v>46</v>
      </c>
      <c r="I391" t="s">
        <v>56</v>
      </c>
      <c r="J391" t="s">
        <v>25</v>
      </c>
      <c r="K391" s="6">
        <f t="shared" si="13"/>
        <v>2.2000000000000002</v>
      </c>
      <c r="L391" t="s">
        <v>64</v>
      </c>
      <c r="M391">
        <f t="shared" si="12"/>
        <v>7</v>
      </c>
      <c r="N391" t="s">
        <v>27</v>
      </c>
      <c r="O391" t="s">
        <v>28</v>
      </c>
      <c r="P391" s="2">
        <v>283</v>
      </c>
      <c r="Q391" t="s">
        <v>41</v>
      </c>
      <c r="R391" t="s">
        <v>30</v>
      </c>
      <c r="S391" t="s">
        <v>58</v>
      </c>
      <c r="T391" t="s">
        <v>43</v>
      </c>
    </row>
    <row r="392" spans="1:20" x14ac:dyDescent="0.25">
      <c r="A392" s="2">
        <v>391</v>
      </c>
      <c r="B392" s="2">
        <v>69547</v>
      </c>
      <c r="C392" t="s">
        <v>51</v>
      </c>
      <c r="D392" t="s">
        <v>66</v>
      </c>
      <c r="E392" t="s">
        <v>97</v>
      </c>
      <c r="F392" t="s">
        <v>62</v>
      </c>
      <c r="G392" t="s">
        <v>92</v>
      </c>
      <c r="H392" t="s">
        <v>23</v>
      </c>
      <c r="I392" t="s">
        <v>24</v>
      </c>
      <c r="J392" t="s">
        <v>57</v>
      </c>
      <c r="K392" s="6">
        <f t="shared" si="13"/>
        <v>1.2</v>
      </c>
      <c r="L392" t="s">
        <v>49</v>
      </c>
      <c r="M392">
        <f t="shared" si="12"/>
        <v>3</v>
      </c>
      <c r="N392" t="s">
        <v>104</v>
      </c>
      <c r="O392" t="s">
        <v>28</v>
      </c>
      <c r="P392" s="2">
        <v>632</v>
      </c>
      <c r="Q392" t="s">
        <v>41</v>
      </c>
      <c r="R392" t="s">
        <v>42</v>
      </c>
      <c r="S392" t="s">
        <v>58</v>
      </c>
      <c r="T392" t="s">
        <v>59</v>
      </c>
    </row>
    <row r="393" spans="1:20" x14ac:dyDescent="0.25">
      <c r="A393" s="2">
        <v>392</v>
      </c>
      <c r="B393" s="2">
        <v>44704</v>
      </c>
      <c r="C393" t="s">
        <v>33</v>
      </c>
      <c r="D393" t="s">
        <v>66</v>
      </c>
      <c r="E393" t="s">
        <v>95</v>
      </c>
      <c r="F393" t="s">
        <v>21</v>
      </c>
      <c r="G393" t="s">
        <v>22</v>
      </c>
      <c r="H393" t="s">
        <v>46</v>
      </c>
      <c r="I393" t="s">
        <v>38</v>
      </c>
      <c r="J393" t="s">
        <v>57</v>
      </c>
      <c r="K393" s="6">
        <f t="shared" si="13"/>
        <v>2</v>
      </c>
      <c r="L393" t="s">
        <v>64</v>
      </c>
      <c r="M393">
        <f t="shared" si="12"/>
        <v>7</v>
      </c>
      <c r="N393" t="s">
        <v>104</v>
      </c>
      <c r="O393" t="s">
        <v>103</v>
      </c>
      <c r="P393" s="2">
        <v>309</v>
      </c>
      <c r="Q393" t="s">
        <v>29</v>
      </c>
      <c r="R393" t="s">
        <v>75</v>
      </c>
      <c r="S393" t="s">
        <v>69</v>
      </c>
      <c r="T393" t="s">
        <v>43</v>
      </c>
    </row>
    <row r="394" spans="1:20" x14ac:dyDescent="0.25">
      <c r="A394" s="2">
        <v>393</v>
      </c>
      <c r="B394" s="2">
        <v>90756</v>
      </c>
      <c r="C394" t="s">
        <v>51</v>
      </c>
      <c r="D394" t="s">
        <v>52</v>
      </c>
      <c r="E394" t="s">
        <v>34</v>
      </c>
      <c r="F394" t="s">
        <v>35</v>
      </c>
      <c r="G394" t="s">
        <v>78</v>
      </c>
      <c r="H394" t="s">
        <v>73</v>
      </c>
      <c r="I394" t="s">
        <v>47</v>
      </c>
      <c r="J394" t="s">
        <v>57</v>
      </c>
      <c r="K394" s="6">
        <f t="shared" si="13"/>
        <v>0.625</v>
      </c>
      <c r="L394" t="s">
        <v>49</v>
      </c>
      <c r="M394">
        <f t="shared" si="12"/>
        <v>3</v>
      </c>
      <c r="N394" t="s">
        <v>27</v>
      </c>
      <c r="O394" t="s">
        <v>28</v>
      </c>
      <c r="P394" s="2">
        <v>1243</v>
      </c>
      <c r="Q394" t="s">
        <v>74</v>
      </c>
      <c r="R394" t="s">
        <v>68</v>
      </c>
      <c r="S394" t="s">
        <v>31</v>
      </c>
      <c r="T394" t="s">
        <v>43</v>
      </c>
    </row>
    <row r="395" spans="1:20" x14ac:dyDescent="0.25">
      <c r="A395" s="2">
        <v>394</v>
      </c>
      <c r="B395" s="2">
        <v>90895</v>
      </c>
      <c r="C395" t="s">
        <v>19</v>
      </c>
      <c r="D395" t="s">
        <v>66</v>
      </c>
      <c r="E395" t="s">
        <v>79</v>
      </c>
      <c r="F395" t="s">
        <v>80</v>
      </c>
      <c r="G395" t="s">
        <v>63</v>
      </c>
      <c r="H395" t="s">
        <v>71</v>
      </c>
      <c r="I395" t="s">
        <v>47</v>
      </c>
      <c r="J395" t="s">
        <v>57</v>
      </c>
      <c r="K395" s="6">
        <f t="shared" si="13"/>
        <v>1.25</v>
      </c>
      <c r="L395" t="s">
        <v>26</v>
      </c>
      <c r="M395">
        <f t="shared" si="12"/>
        <v>1</v>
      </c>
      <c r="N395" t="s">
        <v>104</v>
      </c>
      <c r="O395" t="s">
        <v>72</v>
      </c>
      <c r="P395" s="2">
        <v>287</v>
      </c>
      <c r="Q395" t="s">
        <v>29</v>
      </c>
      <c r="R395" t="s">
        <v>42</v>
      </c>
      <c r="S395" t="s">
        <v>50</v>
      </c>
      <c r="T395" t="s">
        <v>43</v>
      </c>
    </row>
    <row r="396" spans="1:20" x14ac:dyDescent="0.25">
      <c r="A396" s="2">
        <v>395</v>
      </c>
      <c r="B396" s="2">
        <v>96927</v>
      </c>
      <c r="C396" t="s">
        <v>33</v>
      </c>
      <c r="D396" t="s">
        <v>66</v>
      </c>
      <c r="E396" t="s">
        <v>101</v>
      </c>
      <c r="F396" t="s">
        <v>80</v>
      </c>
      <c r="G396" t="s">
        <v>22</v>
      </c>
      <c r="H396" t="s">
        <v>71</v>
      </c>
      <c r="I396" t="s">
        <v>67</v>
      </c>
      <c r="J396" t="s">
        <v>57</v>
      </c>
      <c r="K396" s="6">
        <f t="shared" si="13"/>
        <v>2.2000000000000002</v>
      </c>
      <c r="L396" t="s">
        <v>64</v>
      </c>
      <c r="M396">
        <f t="shared" si="12"/>
        <v>7</v>
      </c>
      <c r="N396" t="s">
        <v>27</v>
      </c>
      <c r="O396" t="s">
        <v>65</v>
      </c>
      <c r="P396" s="2">
        <v>175</v>
      </c>
      <c r="Q396" t="s">
        <v>29</v>
      </c>
      <c r="R396" t="s">
        <v>75</v>
      </c>
      <c r="S396" t="s">
        <v>31</v>
      </c>
      <c r="T396" t="s">
        <v>32</v>
      </c>
    </row>
    <row r="397" spans="1:20" x14ac:dyDescent="0.25">
      <c r="A397" s="2">
        <v>396</v>
      </c>
      <c r="B397" s="2">
        <v>61096</v>
      </c>
      <c r="C397" t="s">
        <v>33</v>
      </c>
      <c r="D397" t="s">
        <v>66</v>
      </c>
      <c r="E397" t="s">
        <v>97</v>
      </c>
      <c r="F397" t="s">
        <v>62</v>
      </c>
      <c r="G397" t="s">
        <v>22</v>
      </c>
      <c r="H397" t="s">
        <v>46</v>
      </c>
      <c r="I397" t="s">
        <v>24</v>
      </c>
      <c r="J397" t="s">
        <v>57</v>
      </c>
      <c r="K397" s="6">
        <f t="shared" si="13"/>
        <v>1.2</v>
      </c>
      <c r="L397" t="s">
        <v>64</v>
      </c>
      <c r="M397">
        <f t="shared" si="12"/>
        <v>7</v>
      </c>
      <c r="N397" t="s">
        <v>27</v>
      </c>
      <c r="O397" t="s">
        <v>82</v>
      </c>
      <c r="P397" s="2">
        <v>305</v>
      </c>
      <c r="Q397" t="s">
        <v>29</v>
      </c>
      <c r="R397" t="s">
        <v>42</v>
      </c>
      <c r="S397" t="s">
        <v>69</v>
      </c>
      <c r="T397" t="s">
        <v>59</v>
      </c>
    </row>
    <row r="398" spans="1:20" x14ac:dyDescent="0.25">
      <c r="A398" s="2">
        <v>397</v>
      </c>
      <c r="B398" s="2">
        <v>23288</v>
      </c>
      <c r="C398" t="s">
        <v>33</v>
      </c>
      <c r="D398" t="s">
        <v>66</v>
      </c>
      <c r="E398" t="s">
        <v>89</v>
      </c>
      <c r="F398" t="s">
        <v>90</v>
      </c>
      <c r="G398" t="s">
        <v>70</v>
      </c>
      <c r="H398" t="s">
        <v>23</v>
      </c>
      <c r="I398" t="s">
        <v>47</v>
      </c>
      <c r="J398" t="s">
        <v>57</v>
      </c>
      <c r="K398" s="6">
        <f t="shared" si="13"/>
        <v>2.5</v>
      </c>
      <c r="L398" t="s">
        <v>64</v>
      </c>
      <c r="M398">
        <f t="shared" si="12"/>
        <v>7</v>
      </c>
      <c r="N398" t="s">
        <v>40</v>
      </c>
      <c r="O398" t="s">
        <v>103</v>
      </c>
      <c r="P398" s="2">
        <v>606</v>
      </c>
      <c r="Q398" t="s">
        <v>29</v>
      </c>
      <c r="R398" t="s">
        <v>30</v>
      </c>
      <c r="S398" t="s">
        <v>58</v>
      </c>
      <c r="T398" t="s">
        <v>59</v>
      </c>
    </row>
    <row r="399" spans="1:20" x14ac:dyDescent="0.25">
      <c r="A399" s="2">
        <v>398</v>
      </c>
      <c r="B399" s="2">
        <v>98238</v>
      </c>
      <c r="C399" t="s">
        <v>96</v>
      </c>
      <c r="D399" t="s">
        <v>52</v>
      </c>
      <c r="E399" t="s">
        <v>93</v>
      </c>
      <c r="F399" t="s">
        <v>62</v>
      </c>
      <c r="G399" t="s">
        <v>98</v>
      </c>
      <c r="H399" t="s">
        <v>71</v>
      </c>
      <c r="I399" t="s">
        <v>83</v>
      </c>
      <c r="J399" t="s">
        <v>86</v>
      </c>
      <c r="K399" s="6">
        <f t="shared" si="13"/>
        <v>1.1000000000000001</v>
      </c>
      <c r="L399" t="s">
        <v>64</v>
      </c>
      <c r="M399">
        <f t="shared" si="12"/>
        <v>7</v>
      </c>
      <c r="N399" t="s">
        <v>27</v>
      </c>
      <c r="O399" t="s">
        <v>103</v>
      </c>
      <c r="P399" s="2">
        <v>283</v>
      </c>
      <c r="Q399" t="s">
        <v>29</v>
      </c>
      <c r="R399" t="s">
        <v>42</v>
      </c>
      <c r="S399" t="s">
        <v>69</v>
      </c>
      <c r="T399" t="s">
        <v>43</v>
      </c>
    </row>
    <row r="400" spans="1:20" x14ac:dyDescent="0.25">
      <c r="A400" s="2">
        <v>399</v>
      </c>
      <c r="B400" s="2">
        <v>15219</v>
      </c>
      <c r="C400" t="s">
        <v>33</v>
      </c>
      <c r="D400" t="s">
        <v>52</v>
      </c>
      <c r="E400" t="s">
        <v>79</v>
      </c>
      <c r="F400" t="s">
        <v>80</v>
      </c>
      <c r="G400" t="s">
        <v>78</v>
      </c>
      <c r="H400" t="s">
        <v>73</v>
      </c>
      <c r="I400" t="s">
        <v>47</v>
      </c>
      <c r="J400" t="s">
        <v>48</v>
      </c>
      <c r="K400" s="6">
        <f t="shared" si="13"/>
        <v>2.5</v>
      </c>
      <c r="L400" t="s">
        <v>64</v>
      </c>
      <c r="M400">
        <f t="shared" si="12"/>
        <v>7</v>
      </c>
      <c r="N400" t="s">
        <v>27</v>
      </c>
      <c r="O400" t="s">
        <v>103</v>
      </c>
      <c r="P400" s="2">
        <v>1368</v>
      </c>
      <c r="Q400" t="s">
        <v>29</v>
      </c>
      <c r="R400" t="s">
        <v>30</v>
      </c>
      <c r="S400" t="s">
        <v>69</v>
      </c>
      <c r="T400" t="s">
        <v>43</v>
      </c>
    </row>
    <row r="401" spans="1:20" x14ac:dyDescent="0.25">
      <c r="A401" s="2">
        <v>400</v>
      </c>
      <c r="B401" s="2">
        <v>96488</v>
      </c>
      <c r="C401" t="s">
        <v>33</v>
      </c>
      <c r="D401" t="s">
        <v>66</v>
      </c>
      <c r="E401" t="s">
        <v>53</v>
      </c>
      <c r="F401" t="s">
        <v>54</v>
      </c>
      <c r="G401" t="s">
        <v>78</v>
      </c>
      <c r="H401" t="s">
        <v>37</v>
      </c>
      <c r="I401" t="s">
        <v>24</v>
      </c>
      <c r="J401" t="s">
        <v>57</v>
      </c>
      <c r="K401" s="6">
        <f t="shared" si="13"/>
        <v>1.2</v>
      </c>
      <c r="L401" t="s">
        <v>26</v>
      </c>
      <c r="M401">
        <f t="shared" si="12"/>
        <v>1</v>
      </c>
      <c r="N401" t="s">
        <v>40</v>
      </c>
      <c r="O401" t="s">
        <v>28</v>
      </c>
      <c r="P401" s="2">
        <v>2142</v>
      </c>
      <c r="Q401" t="s">
        <v>29</v>
      </c>
      <c r="R401" t="s">
        <v>42</v>
      </c>
      <c r="S401" t="s">
        <v>31</v>
      </c>
      <c r="T401" t="s">
        <v>59</v>
      </c>
    </row>
    <row r="402" spans="1:20" x14ac:dyDescent="0.25">
      <c r="A402" s="2">
        <v>401</v>
      </c>
      <c r="B402" s="2">
        <v>86043</v>
      </c>
      <c r="C402" t="s">
        <v>51</v>
      </c>
      <c r="D402" t="s">
        <v>66</v>
      </c>
      <c r="E402" t="s">
        <v>93</v>
      </c>
      <c r="F402" t="s">
        <v>62</v>
      </c>
      <c r="G402" t="s">
        <v>81</v>
      </c>
      <c r="H402" t="s">
        <v>71</v>
      </c>
      <c r="I402" t="s">
        <v>24</v>
      </c>
      <c r="J402" t="s">
        <v>86</v>
      </c>
      <c r="K402" s="6">
        <f t="shared" si="13"/>
        <v>1.2</v>
      </c>
      <c r="L402" t="s">
        <v>64</v>
      </c>
      <c r="M402">
        <f t="shared" si="12"/>
        <v>7</v>
      </c>
      <c r="N402" t="s">
        <v>27</v>
      </c>
      <c r="O402" t="s">
        <v>103</v>
      </c>
      <c r="P402" s="2">
        <v>336</v>
      </c>
      <c r="Q402" t="s">
        <v>41</v>
      </c>
      <c r="R402" t="s">
        <v>42</v>
      </c>
      <c r="S402" t="s">
        <v>50</v>
      </c>
      <c r="T402" t="s">
        <v>43</v>
      </c>
    </row>
    <row r="403" spans="1:20" x14ac:dyDescent="0.25">
      <c r="A403" s="2">
        <v>402</v>
      </c>
      <c r="B403" s="2">
        <v>15059</v>
      </c>
      <c r="C403" t="s">
        <v>60</v>
      </c>
      <c r="D403" t="s">
        <v>66</v>
      </c>
      <c r="E403" t="s">
        <v>20</v>
      </c>
      <c r="F403" t="s">
        <v>21</v>
      </c>
      <c r="G403" t="s">
        <v>92</v>
      </c>
      <c r="H403" t="s">
        <v>23</v>
      </c>
      <c r="I403" t="s">
        <v>94</v>
      </c>
      <c r="J403" t="s">
        <v>57</v>
      </c>
      <c r="K403" s="6">
        <f t="shared" si="13"/>
        <v>0.375</v>
      </c>
      <c r="L403" t="s">
        <v>64</v>
      </c>
      <c r="M403">
        <f t="shared" si="12"/>
        <v>7</v>
      </c>
      <c r="N403" t="s">
        <v>40</v>
      </c>
      <c r="O403" t="s">
        <v>72</v>
      </c>
      <c r="P403" s="2">
        <v>775</v>
      </c>
      <c r="Q403" t="s">
        <v>29</v>
      </c>
      <c r="R403" t="s">
        <v>68</v>
      </c>
      <c r="S403" t="s">
        <v>31</v>
      </c>
      <c r="T403" t="s">
        <v>32</v>
      </c>
    </row>
    <row r="404" spans="1:20" x14ac:dyDescent="0.25">
      <c r="A404" s="2">
        <v>403</v>
      </c>
      <c r="B404" s="2">
        <v>39731</v>
      </c>
      <c r="C404" t="s">
        <v>19</v>
      </c>
      <c r="D404" t="s">
        <v>66</v>
      </c>
      <c r="E404" t="s">
        <v>95</v>
      </c>
      <c r="F404" t="s">
        <v>21</v>
      </c>
      <c r="G404" t="s">
        <v>78</v>
      </c>
      <c r="H404" t="s">
        <v>23</v>
      </c>
      <c r="I404" t="s">
        <v>24</v>
      </c>
      <c r="J404" t="s">
        <v>25</v>
      </c>
      <c r="K404" s="6">
        <f t="shared" si="13"/>
        <v>0.6</v>
      </c>
      <c r="L404" t="s">
        <v>26</v>
      </c>
      <c r="M404">
        <f t="shared" si="12"/>
        <v>1</v>
      </c>
      <c r="N404" t="s">
        <v>104</v>
      </c>
      <c r="O404" t="s">
        <v>103</v>
      </c>
      <c r="P404" s="2">
        <v>584</v>
      </c>
      <c r="Q404" t="s">
        <v>104</v>
      </c>
      <c r="R404" t="s">
        <v>68</v>
      </c>
      <c r="S404" t="s">
        <v>69</v>
      </c>
      <c r="T404" t="s">
        <v>43</v>
      </c>
    </row>
    <row r="405" spans="1:20" x14ac:dyDescent="0.25">
      <c r="A405" s="2">
        <v>404</v>
      </c>
      <c r="B405" s="2">
        <v>17062</v>
      </c>
      <c r="C405" t="s">
        <v>51</v>
      </c>
      <c r="D405" t="s">
        <v>66</v>
      </c>
      <c r="E405" t="s">
        <v>101</v>
      </c>
      <c r="F405" t="s">
        <v>80</v>
      </c>
      <c r="G405" t="s">
        <v>22</v>
      </c>
      <c r="H405" t="s">
        <v>23</v>
      </c>
      <c r="I405" t="s">
        <v>24</v>
      </c>
      <c r="J405" t="s">
        <v>25</v>
      </c>
      <c r="K405" s="6">
        <f t="shared" si="13"/>
        <v>2.4</v>
      </c>
      <c r="L405" t="s">
        <v>49</v>
      </c>
      <c r="M405">
        <f t="shared" si="12"/>
        <v>3</v>
      </c>
      <c r="N405" t="s">
        <v>27</v>
      </c>
      <c r="O405" t="s">
        <v>102</v>
      </c>
      <c r="P405" s="2">
        <v>731</v>
      </c>
      <c r="Q405" t="s">
        <v>74</v>
      </c>
      <c r="R405" t="s">
        <v>30</v>
      </c>
      <c r="S405" t="s">
        <v>69</v>
      </c>
      <c r="T405" t="s">
        <v>32</v>
      </c>
    </row>
    <row r="406" spans="1:20" x14ac:dyDescent="0.25">
      <c r="A406" s="2">
        <v>405</v>
      </c>
      <c r="B406" s="2">
        <v>48366</v>
      </c>
      <c r="C406" t="s">
        <v>51</v>
      </c>
      <c r="D406" t="s">
        <v>66</v>
      </c>
      <c r="E406" t="s">
        <v>99</v>
      </c>
      <c r="F406" t="s">
        <v>100</v>
      </c>
      <c r="G406" t="s">
        <v>22</v>
      </c>
      <c r="H406" t="s">
        <v>46</v>
      </c>
      <c r="I406" t="s">
        <v>91</v>
      </c>
      <c r="J406" t="s">
        <v>57</v>
      </c>
      <c r="K406" s="6">
        <f t="shared" si="13"/>
        <v>2.2000000000000002</v>
      </c>
      <c r="L406" t="s">
        <v>64</v>
      </c>
      <c r="M406">
        <f t="shared" si="12"/>
        <v>7</v>
      </c>
      <c r="N406" t="s">
        <v>40</v>
      </c>
      <c r="O406" t="s">
        <v>82</v>
      </c>
      <c r="P406" s="2">
        <v>416</v>
      </c>
      <c r="Q406" t="s">
        <v>29</v>
      </c>
      <c r="R406" t="s">
        <v>30</v>
      </c>
      <c r="S406" t="s">
        <v>31</v>
      </c>
      <c r="T406" t="s">
        <v>32</v>
      </c>
    </row>
    <row r="407" spans="1:20" x14ac:dyDescent="0.25">
      <c r="A407" s="2">
        <v>406</v>
      </c>
      <c r="B407" s="2">
        <v>32976</v>
      </c>
      <c r="C407" t="s">
        <v>60</v>
      </c>
      <c r="D407" t="s">
        <v>66</v>
      </c>
      <c r="E407" t="s">
        <v>89</v>
      </c>
      <c r="F407" t="s">
        <v>90</v>
      </c>
      <c r="G407" t="s">
        <v>70</v>
      </c>
      <c r="H407" t="s">
        <v>23</v>
      </c>
      <c r="I407" t="s">
        <v>91</v>
      </c>
      <c r="J407" t="s">
        <v>57</v>
      </c>
      <c r="K407" s="6">
        <f t="shared" si="13"/>
        <v>2.2000000000000002</v>
      </c>
      <c r="L407" t="s">
        <v>49</v>
      </c>
      <c r="M407">
        <f t="shared" si="12"/>
        <v>3</v>
      </c>
      <c r="N407" t="s">
        <v>27</v>
      </c>
      <c r="O407" t="s">
        <v>103</v>
      </c>
      <c r="P407" s="2">
        <v>432</v>
      </c>
      <c r="Q407" t="s">
        <v>29</v>
      </c>
      <c r="R407" t="s">
        <v>30</v>
      </c>
      <c r="S407" t="s">
        <v>69</v>
      </c>
      <c r="T407" t="s">
        <v>59</v>
      </c>
    </row>
    <row r="408" spans="1:20" x14ac:dyDescent="0.25">
      <c r="A408" s="2">
        <v>407</v>
      </c>
      <c r="B408" s="2">
        <v>42480</v>
      </c>
      <c r="C408" t="s">
        <v>60</v>
      </c>
      <c r="D408" t="s">
        <v>66</v>
      </c>
      <c r="E408" t="s">
        <v>93</v>
      </c>
      <c r="F408" t="s">
        <v>62</v>
      </c>
      <c r="G408" t="s">
        <v>55</v>
      </c>
      <c r="H408" t="s">
        <v>37</v>
      </c>
      <c r="I408" t="s">
        <v>24</v>
      </c>
      <c r="J408" t="s">
        <v>57</v>
      </c>
      <c r="K408" s="6">
        <f t="shared" si="13"/>
        <v>2.4</v>
      </c>
      <c r="L408" t="s">
        <v>49</v>
      </c>
      <c r="M408">
        <f t="shared" si="12"/>
        <v>3</v>
      </c>
      <c r="N408" t="s">
        <v>27</v>
      </c>
      <c r="O408" t="s">
        <v>103</v>
      </c>
      <c r="P408" s="2">
        <v>1638</v>
      </c>
      <c r="Q408" t="s">
        <v>41</v>
      </c>
      <c r="R408" t="s">
        <v>30</v>
      </c>
      <c r="S408" t="s">
        <v>58</v>
      </c>
      <c r="T408" t="s">
        <v>43</v>
      </c>
    </row>
    <row r="409" spans="1:20" x14ac:dyDescent="0.25">
      <c r="A409" s="2">
        <v>408</v>
      </c>
      <c r="B409" s="2">
        <v>14310</v>
      </c>
      <c r="C409" t="s">
        <v>60</v>
      </c>
      <c r="D409" t="s">
        <v>66</v>
      </c>
      <c r="E409" t="s">
        <v>76</v>
      </c>
      <c r="F409" t="s">
        <v>77</v>
      </c>
      <c r="G409" t="s">
        <v>92</v>
      </c>
      <c r="H409" t="s">
        <v>73</v>
      </c>
      <c r="I409" t="s">
        <v>91</v>
      </c>
      <c r="J409" t="s">
        <v>57</v>
      </c>
      <c r="K409" s="6">
        <f t="shared" si="13"/>
        <v>2.2000000000000002</v>
      </c>
      <c r="L409" t="s">
        <v>64</v>
      </c>
      <c r="M409">
        <f t="shared" si="12"/>
        <v>7</v>
      </c>
      <c r="N409" t="s">
        <v>40</v>
      </c>
      <c r="O409" t="s">
        <v>82</v>
      </c>
      <c r="P409" s="2">
        <v>1088</v>
      </c>
      <c r="Q409" t="s">
        <v>74</v>
      </c>
      <c r="R409" t="s">
        <v>30</v>
      </c>
      <c r="S409" t="s">
        <v>50</v>
      </c>
      <c r="T409" t="s">
        <v>43</v>
      </c>
    </row>
    <row r="410" spans="1:20" x14ac:dyDescent="0.25">
      <c r="A410" s="2">
        <v>409</v>
      </c>
      <c r="B410" s="2">
        <v>54462</v>
      </c>
      <c r="C410" t="s">
        <v>51</v>
      </c>
      <c r="D410" t="s">
        <v>52</v>
      </c>
      <c r="E410" t="s">
        <v>89</v>
      </c>
      <c r="F410" t="s">
        <v>90</v>
      </c>
      <c r="G410" t="s">
        <v>55</v>
      </c>
      <c r="H410" t="s">
        <v>23</v>
      </c>
      <c r="I410" t="s">
        <v>56</v>
      </c>
      <c r="J410" t="s">
        <v>57</v>
      </c>
      <c r="K410" s="6">
        <f t="shared" si="13"/>
        <v>2.2000000000000002</v>
      </c>
      <c r="L410" t="s">
        <v>64</v>
      </c>
      <c r="M410">
        <f t="shared" si="12"/>
        <v>7</v>
      </c>
      <c r="N410" t="s">
        <v>27</v>
      </c>
      <c r="O410" t="s">
        <v>28</v>
      </c>
      <c r="P410" s="2">
        <v>688</v>
      </c>
      <c r="Q410" t="s">
        <v>41</v>
      </c>
      <c r="R410" t="s">
        <v>30</v>
      </c>
      <c r="S410" t="s">
        <v>31</v>
      </c>
      <c r="T410" t="s">
        <v>59</v>
      </c>
    </row>
    <row r="411" spans="1:20" x14ac:dyDescent="0.25">
      <c r="A411" s="2">
        <v>410</v>
      </c>
      <c r="B411" s="2">
        <v>37139</v>
      </c>
      <c r="C411" t="s">
        <v>19</v>
      </c>
      <c r="D411" t="s">
        <v>52</v>
      </c>
      <c r="E411" t="s">
        <v>61</v>
      </c>
      <c r="F411" t="s">
        <v>62</v>
      </c>
      <c r="G411" t="s">
        <v>92</v>
      </c>
      <c r="H411" t="s">
        <v>46</v>
      </c>
      <c r="I411" t="s">
        <v>83</v>
      </c>
      <c r="J411" t="s">
        <v>48</v>
      </c>
      <c r="K411" s="6">
        <f t="shared" si="13"/>
        <v>1.1000000000000001</v>
      </c>
      <c r="L411" t="s">
        <v>49</v>
      </c>
      <c r="M411">
        <f t="shared" si="12"/>
        <v>3</v>
      </c>
      <c r="N411" t="s">
        <v>27</v>
      </c>
      <c r="O411" t="s">
        <v>82</v>
      </c>
      <c r="P411" s="2">
        <v>459</v>
      </c>
      <c r="Q411" t="s">
        <v>41</v>
      </c>
      <c r="R411" t="s">
        <v>42</v>
      </c>
      <c r="S411" t="s">
        <v>58</v>
      </c>
      <c r="T411" t="s">
        <v>59</v>
      </c>
    </row>
    <row r="412" spans="1:20" x14ac:dyDescent="0.25">
      <c r="A412" s="2">
        <v>411</v>
      </c>
      <c r="B412" s="2">
        <v>72801</v>
      </c>
      <c r="C412" t="s">
        <v>51</v>
      </c>
      <c r="D412" t="s">
        <v>52</v>
      </c>
      <c r="E412" t="s">
        <v>44</v>
      </c>
      <c r="F412" t="s">
        <v>44</v>
      </c>
      <c r="G412" t="s">
        <v>55</v>
      </c>
      <c r="H412" t="s">
        <v>73</v>
      </c>
      <c r="I412" t="s">
        <v>47</v>
      </c>
      <c r="J412" t="s">
        <v>86</v>
      </c>
      <c r="K412" s="6">
        <f t="shared" si="13"/>
        <v>0.625</v>
      </c>
      <c r="L412" t="s">
        <v>49</v>
      </c>
      <c r="M412">
        <f t="shared" si="12"/>
        <v>3</v>
      </c>
      <c r="N412" t="s">
        <v>27</v>
      </c>
      <c r="O412" t="s">
        <v>103</v>
      </c>
      <c r="P412" s="2">
        <v>1257</v>
      </c>
      <c r="Q412" t="s">
        <v>41</v>
      </c>
      <c r="R412" t="s">
        <v>68</v>
      </c>
      <c r="S412" t="s">
        <v>58</v>
      </c>
      <c r="T412" t="s">
        <v>43</v>
      </c>
    </row>
    <row r="413" spans="1:20" x14ac:dyDescent="0.25">
      <c r="A413" s="2">
        <v>412</v>
      </c>
      <c r="B413" s="2">
        <v>44401</v>
      </c>
      <c r="C413" t="s">
        <v>33</v>
      </c>
      <c r="D413" t="s">
        <v>52</v>
      </c>
      <c r="E413" t="s">
        <v>20</v>
      </c>
      <c r="F413" t="s">
        <v>21</v>
      </c>
      <c r="G413" t="s">
        <v>78</v>
      </c>
      <c r="H413" t="s">
        <v>71</v>
      </c>
      <c r="I413" t="s">
        <v>47</v>
      </c>
      <c r="J413" t="s">
        <v>48</v>
      </c>
      <c r="K413" s="6">
        <f t="shared" si="13"/>
        <v>2.5</v>
      </c>
      <c r="L413" t="s">
        <v>26</v>
      </c>
      <c r="M413">
        <f t="shared" si="12"/>
        <v>1</v>
      </c>
      <c r="N413" t="s">
        <v>40</v>
      </c>
      <c r="O413" t="s">
        <v>103</v>
      </c>
      <c r="P413" s="2">
        <v>264</v>
      </c>
      <c r="Q413" t="s">
        <v>104</v>
      </c>
      <c r="R413" t="s">
        <v>30</v>
      </c>
      <c r="S413" t="s">
        <v>69</v>
      </c>
      <c r="T413" t="s">
        <v>32</v>
      </c>
    </row>
    <row r="414" spans="1:20" x14ac:dyDescent="0.25">
      <c r="A414" s="2">
        <v>413</v>
      </c>
      <c r="B414" s="2">
        <v>74271</v>
      </c>
      <c r="C414" t="s">
        <v>33</v>
      </c>
      <c r="D414" t="s">
        <v>66</v>
      </c>
      <c r="E414" t="s">
        <v>93</v>
      </c>
      <c r="F414" t="s">
        <v>62</v>
      </c>
      <c r="G414" t="s">
        <v>45</v>
      </c>
      <c r="H414" t="s">
        <v>73</v>
      </c>
      <c r="I414" t="s">
        <v>47</v>
      </c>
      <c r="J414" t="s">
        <v>25</v>
      </c>
      <c r="K414" s="6">
        <f t="shared" si="13"/>
        <v>0.625</v>
      </c>
      <c r="L414" t="s">
        <v>64</v>
      </c>
      <c r="M414">
        <f t="shared" si="12"/>
        <v>7</v>
      </c>
      <c r="N414" t="s">
        <v>27</v>
      </c>
      <c r="O414" t="s">
        <v>72</v>
      </c>
      <c r="P414" s="2">
        <v>811</v>
      </c>
      <c r="Q414" t="s">
        <v>29</v>
      </c>
      <c r="R414" t="s">
        <v>68</v>
      </c>
      <c r="S414" t="s">
        <v>31</v>
      </c>
      <c r="T414" t="s">
        <v>43</v>
      </c>
    </row>
    <row r="415" spans="1:20" x14ac:dyDescent="0.25">
      <c r="A415" s="2">
        <v>414</v>
      </c>
      <c r="B415" s="2">
        <v>89847</v>
      </c>
      <c r="C415" t="s">
        <v>51</v>
      </c>
      <c r="D415" t="s">
        <v>52</v>
      </c>
      <c r="E415" t="s">
        <v>61</v>
      </c>
      <c r="F415" t="s">
        <v>62</v>
      </c>
      <c r="G415" t="s">
        <v>45</v>
      </c>
      <c r="H415" t="s">
        <v>73</v>
      </c>
      <c r="I415" t="s">
        <v>94</v>
      </c>
      <c r="J415" t="s">
        <v>39</v>
      </c>
      <c r="K415" s="6">
        <f t="shared" si="13"/>
        <v>0.375</v>
      </c>
      <c r="L415" t="s">
        <v>49</v>
      </c>
      <c r="M415">
        <f t="shared" si="12"/>
        <v>3</v>
      </c>
      <c r="N415" t="s">
        <v>104</v>
      </c>
      <c r="O415" t="s">
        <v>28</v>
      </c>
      <c r="P415" s="2">
        <v>1178</v>
      </c>
      <c r="Q415" t="s">
        <v>41</v>
      </c>
      <c r="R415" t="s">
        <v>68</v>
      </c>
      <c r="S415" t="s">
        <v>50</v>
      </c>
      <c r="T415" t="s">
        <v>59</v>
      </c>
    </row>
    <row r="416" spans="1:20" x14ac:dyDescent="0.25">
      <c r="A416" s="2">
        <v>415</v>
      </c>
      <c r="B416" s="2">
        <v>81698</v>
      </c>
      <c r="C416" t="s">
        <v>33</v>
      </c>
      <c r="D416" t="s">
        <v>66</v>
      </c>
      <c r="E416" t="s">
        <v>99</v>
      </c>
      <c r="F416" t="s">
        <v>100</v>
      </c>
      <c r="G416" t="s">
        <v>45</v>
      </c>
      <c r="H416" t="s">
        <v>73</v>
      </c>
      <c r="I416" t="s">
        <v>83</v>
      </c>
      <c r="J416" t="s">
        <v>39</v>
      </c>
      <c r="K416" s="6">
        <f t="shared" si="13"/>
        <v>0.55000000000000004</v>
      </c>
      <c r="L416" t="s">
        <v>26</v>
      </c>
      <c r="M416">
        <f t="shared" si="12"/>
        <v>1</v>
      </c>
      <c r="N416" t="s">
        <v>27</v>
      </c>
      <c r="O416" t="s">
        <v>82</v>
      </c>
      <c r="P416" s="2">
        <v>851</v>
      </c>
      <c r="Q416" t="s">
        <v>41</v>
      </c>
      <c r="R416" t="s">
        <v>68</v>
      </c>
      <c r="S416" t="s">
        <v>69</v>
      </c>
      <c r="T416" t="s">
        <v>32</v>
      </c>
    </row>
    <row r="417" spans="1:20" x14ac:dyDescent="0.25">
      <c r="A417" s="2">
        <v>416</v>
      </c>
      <c r="B417" s="2">
        <v>89467</v>
      </c>
      <c r="C417" t="s">
        <v>60</v>
      </c>
      <c r="D417" t="s">
        <v>66</v>
      </c>
      <c r="E417" t="s">
        <v>89</v>
      </c>
      <c r="F417" t="s">
        <v>90</v>
      </c>
      <c r="G417" t="s">
        <v>55</v>
      </c>
      <c r="H417" t="s">
        <v>23</v>
      </c>
      <c r="I417" t="s">
        <v>67</v>
      </c>
      <c r="J417" t="s">
        <v>57</v>
      </c>
      <c r="K417" s="6">
        <f t="shared" si="13"/>
        <v>2.2000000000000002</v>
      </c>
      <c r="L417" t="s">
        <v>64</v>
      </c>
      <c r="M417">
        <f t="shared" si="12"/>
        <v>7</v>
      </c>
      <c r="N417" t="s">
        <v>104</v>
      </c>
      <c r="O417" t="s">
        <v>65</v>
      </c>
      <c r="P417" s="2">
        <v>795</v>
      </c>
      <c r="Q417" t="s">
        <v>74</v>
      </c>
      <c r="R417" t="s">
        <v>30</v>
      </c>
      <c r="S417" t="s">
        <v>50</v>
      </c>
      <c r="T417" t="s">
        <v>59</v>
      </c>
    </row>
    <row r="418" spans="1:20" x14ac:dyDescent="0.25">
      <c r="A418" s="2">
        <v>417</v>
      </c>
      <c r="B418" s="2">
        <v>58836</v>
      </c>
      <c r="C418" t="s">
        <v>19</v>
      </c>
      <c r="D418" t="s">
        <v>66</v>
      </c>
      <c r="E418" t="s">
        <v>44</v>
      </c>
      <c r="F418" t="s">
        <v>44</v>
      </c>
      <c r="G418" t="s">
        <v>98</v>
      </c>
      <c r="H418" t="s">
        <v>37</v>
      </c>
      <c r="I418" t="s">
        <v>24</v>
      </c>
      <c r="J418" t="s">
        <v>86</v>
      </c>
      <c r="K418" s="6">
        <f t="shared" si="13"/>
        <v>1.2</v>
      </c>
      <c r="L418" t="s">
        <v>64</v>
      </c>
      <c r="M418">
        <f t="shared" si="12"/>
        <v>7</v>
      </c>
      <c r="N418" t="s">
        <v>27</v>
      </c>
      <c r="O418" t="s">
        <v>103</v>
      </c>
      <c r="P418" s="2">
        <v>1544</v>
      </c>
      <c r="Q418" t="s">
        <v>74</v>
      </c>
      <c r="R418" t="s">
        <v>42</v>
      </c>
      <c r="S418" t="s">
        <v>31</v>
      </c>
      <c r="T418" t="s">
        <v>43</v>
      </c>
    </row>
    <row r="419" spans="1:20" x14ac:dyDescent="0.25">
      <c r="A419" s="2">
        <v>418</v>
      </c>
      <c r="B419" s="2">
        <v>74052</v>
      </c>
      <c r="C419" t="s">
        <v>19</v>
      </c>
      <c r="D419" t="s">
        <v>66</v>
      </c>
      <c r="E419" t="s">
        <v>20</v>
      </c>
      <c r="F419" t="s">
        <v>21</v>
      </c>
      <c r="G419" t="s">
        <v>22</v>
      </c>
      <c r="H419" t="s">
        <v>71</v>
      </c>
      <c r="I419" t="s">
        <v>56</v>
      </c>
      <c r="J419" t="s">
        <v>25</v>
      </c>
      <c r="K419" s="6">
        <f t="shared" si="13"/>
        <v>0.55000000000000004</v>
      </c>
      <c r="L419" t="s">
        <v>26</v>
      </c>
      <c r="M419">
        <f t="shared" si="12"/>
        <v>1</v>
      </c>
      <c r="N419" t="s">
        <v>27</v>
      </c>
      <c r="O419" t="s">
        <v>28</v>
      </c>
      <c r="P419" s="2">
        <v>301</v>
      </c>
      <c r="Q419" t="s">
        <v>104</v>
      </c>
      <c r="R419" t="s">
        <v>68</v>
      </c>
      <c r="S419" t="s">
        <v>69</v>
      </c>
      <c r="T419" t="s">
        <v>32</v>
      </c>
    </row>
    <row r="420" spans="1:20" x14ac:dyDescent="0.25">
      <c r="A420" s="2">
        <v>419</v>
      </c>
      <c r="B420" s="2">
        <v>34683</v>
      </c>
      <c r="C420" t="s">
        <v>33</v>
      </c>
      <c r="D420" t="s">
        <v>52</v>
      </c>
      <c r="E420" t="s">
        <v>84</v>
      </c>
      <c r="F420" t="s">
        <v>85</v>
      </c>
      <c r="G420" t="s">
        <v>81</v>
      </c>
      <c r="H420" t="s">
        <v>46</v>
      </c>
      <c r="I420" t="s">
        <v>24</v>
      </c>
      <c r="J420" t="s">
        <v>48</v>
      </c>
      <c r="K420" s="6">
        <f t="shared" si="13"/>
        <v>0.6</v>
      </c>
      <c r="L420" t="s">
        <v>49</v>
      </c>
      <c r="M420">
        <f t="shared" si="12"/>
        <v>3</v>
      </c>
      <c r="N420" t="s">
        <v>27</v>
      </c>
      <c r="O420" t="s">
        <v>103</v>
      </c>
      <c r="P420" s="2">
        <v>337</v>
      </c>
      <c r="Q420" t="s">
        <v>29</v>
      </c>
      <c r="R420" t="s">
        <v>68</v>
      </c>
      <c r="S420" t="s">
        <v>69</v>
      </c>
      <c r="T420" t="s">
        <v>32</v>
      </c>
    </row>
    <row r="421" spans="1:20" x14ac:dyDescent="0.25">
      <c r="A421" s="2">
        <v>420</v>
      </c>
      <c r="B421" s="2">
        <v>27652</v>
      </c>
      <c r="C421" t="s">
        <v>51</v>
      </c>
      <c r="D421" t="s">
        <v>66</v>
      </c>
      <c r="E421" t="s">
        <v>53</v>
      </c>
      <c r="F421" t="s">
        <v>54</v>
      </c>
      <c r="G421" t="s">
        <v>92</v>
      </c>
      <c r="H421" t="s">
        <v>23</v>
      </c>
      <c r="I421" t="s">
        <v>24</v>
      </c>
      <c r="J421" t="s">
        <v>25</v>
      </c>
      <c r="K421" s="6">
        <f t="shared" si="13"/>
        <v>1.2</v>
      </c>
      <c r="L421" t="s">
        <v>64</v>
      </c>
      <c r="M421">
        <f t="shared" si="12"/>
        <v>7</v>
      </c>
      <c r="N421" t="s">
        <v>27</v>
      </c>
      <c r="O421" t="s">
        <v>103</v>
      </c>
      <c r="P421" s="2">
        <v>559</v>
      </c>
      <c r="Q421" t="s">
        <v>74</v>
      </c>
      <c r="R421" t="s">
        <v>42</v>
      </c>
      <c r="S421" t="s">
        <v>69</v>
      </c>
      <c r="T421" t="s">
        <v>59</v>
      </c>
    </row>
    <row r="422" spans="1:20" x14ac:dyDescent="0.25">
      <c r="A422" s="2">
        <v>421</v>
      </c>
      <c r="B422" s="2">
        <v>75901</v>
      </c>
      <c r="C422" t="s">
        <v>33</v>
      </c>
      <c r="D422" t="s">
        <v>52</v>
      </c>
      <c r="E422" t="s">
        <v>99</v>
      </c>
      <c r="F422" t="s">
        <v>100</v>
      </c>
      <c r="G422" t="s">
        <v>92</v>
      </c>
      <c r="H422" t="s">
        <v>71</v>
      </c>
      <c r="I422" t="s">
        <v>47</v>
      </c>
      <c r="J422" t="s">
        <v>48</v>
      </c>
      <c r="K422" s="6">
        <f t="shared" si="13"/>
        <v>0.625</v>
      </c>
      <c r="L422" t="s">
        <v>64</v>
      </c>
      <c r="M422">
        <f t="shared" si="12"/>
        <v>7</v>
      </c>
      <c r="N422" t="s">
        <v>40</v>
      </c>
      <c r="O422" t="s">
        <v>82</v>
      </c>
      <c r="P422" s="2">
        <v>394</v>
      </c>
      <c r="Q422" t="s">
        <v>29</v>
      </c>
      <c r="R422" t="s">
        <v>68</v>
      </c>
      <c r="S422" t="s">
        <v>69</v>
      </c>
      <c r="T422" t="s">
        <v>32</v>
      </c>
    </row>
    <row r="423" spans="1:20" x14ac:dyDescent="0.25">
      <c r="A423" s="2">
        <v>422</v>
      </c>
      <c r="B423" s="2">
        <v>32667</v>
      </c>
      <c r="C423" t="s">
        <v>33</v>
      </c>
      <c r="D423" t="s">
        <v>66</v>
      </c>
      <c r="E423" t="s">
        <v>99</v>
      </c>
      <c r="F423" t="s">
        <v>100</v>
      </c>
      <c r="G423" t="s">
        <v>81</v>
      </c>
      <c r="H423" t="s">
        <v>71</v>
      </c>
      <c r="I423" t="s">
        <v>47</v>
      </c>
      <c r="J423" t="s">
        <v>48</v>
      </c>
      <c r="K423" s="6">
        <f t="shared" si="13"/>
        <v>0.625</v>
      </c>
      <c r="L423" t="s">
        <v>26</v>
      </c>
      <c r="M423">
        <f t="shared" si="12"/>
        <v>1</v>
      </c>
      <c r="N423" t="s">
        <v>104</v>
      </c>
      <c r="O423" t="s">
        <v>72</v>
      </c>
      <c r="P423" s="2">
        <v>333</v>
      </c>
      <c r="Q423" t="s">
        <v>74</v>
      </c>
      <c r="R423" t="s">
        <v>68</v>
      </c>
      <c r="S423" t="s">
        <v>69</v>
      </c>
      <c r="T423" t="s">
        <v>32</v>
      </c>
    </row>
    <row r="424" spans="1:20" x14ac:dyDescent="0.25">
      <c r="A424" s="2">
        <v>423</v>
      </c>
      <c r="B424" s="2">
        <v>27752</v>
      </c>
      <c r="C424" t="s">
        <v>51</v>
      </c>
      <c r="D424" t="s">
        <v>66</v>
      </c>
      <c r="E424" t="s">
        <v>44</v>
      </c>
      <c r="F424" t="s">
        <v>44</v>
      </c>
      <c r="G424" t="s">
        <v>78</v>
      </c>
      <c r="H424" t="s">
        <v>71</v>
      </c>
      <c r="I424" t="s">
        <v>94</v>
      </c>
      <c r="J424" t="s">
        <v>57</v>
      </c>
      <c r="K424" s="6">
        <f t="shared" si="13"/>
        <v>1.5</v>
      </c>
      <c r="L424" t="s">
        <v>64</v>
      </c>
      <c r="M424">
        <f t="shared" si="12"/>
        <v>7</v>
      </c>
      <c r="N424" t="s">
        <v>40</v>
      </c>
      <c r="O424" t="s">
        <v>102</v>
      </c>
      <c r="P424" s="2">
        <v>213</v>
      </c>
      <c r="Q424" t="s">
        <v>41</v>
      </c>
      <c r="R424" t="s">
        <v>30</v>
      </c>
      <c r="S424" t="s">
        <v>31</v>
      </c>
      <c r="T424" t="s">
        <v>43</v>
      </c>
    </row>
    <row r="425" spans="1:20" x14ac:dyDescent="0.25">
      <c r="A425" s="2">
        <v>424</v>
      </c>
      <c r="B425" s="2">
        <v>75204</v>
      </c>
      <c r="C425" t="s">
        <v>33</v>
      </c>
      <c r="D425" t="s">
        <v>66</v>
      </c>
      <c r="E425" t="s">
        <v>97</v>
      </c>
      <c r="F425" t="s">
        <v>62</v>
      </c>
      <c r="G425" t="s">
        <v>92</v>
      </c>
      <c r="H425" t="s">
        <v>71</v>
      </c>
      <c r="I425" t="s">
        <v>47</v>
      </c>
      <c r="J425" t="s">
        <v>48</v>
      </c>
      <c r="K425" s="6">
        <f t="shared" si="13"/>
        <v>2.5</v>
      </c>
      <c r="L425" t="s">
        <v>64</v>
      </c>
      <c r="M425">
        <f t="shared" si="12"/>
        <v>7</v>
      </c>
      <c r="N425" t="s">
        <v>40</v>
      </c>
      <c r="O425" t="s">
        <v>103</v>
      </c>
      <c r="P425" s="2">
        <v>320</v>
      </c>
      <c r="Q425" t="s">
        <v>104</v>
      </c>
      <c r="R425" t="s">
        <v>30</v>
      </c>
      <c r="S425" t="s">
        <v>50</v>
      </c>
      <c r="T425" t="s">
        <v>59</v>
      </c>
    </row>
    <row r="426" spans="1:20" x14ac:dyDescent="0.25">
      <c r="A426" s="2">
        <v>425</v>
      </c>
      <c r="B426" s="2">
        <v>12372</v>
      </c>
      <c r="C426" t="s">
        <v>33</v>
      </c>
      <c r="D426" t="s">
        <v>66</v>
      </c>
      <c r="E426" t="s">
        <v>97</v>
      </c>
      <c r="F426" t="s">
        <v>62</v>
      </c>
      <c r="G426" t="s">
        <v>78</v>
      </c>
      <c r="H426" t="s">
        <v>46</v>
      </c>
      <c r="I426" t="s">
        <v>47</v>
      </c>
      <c r="J426" t="s">
        <v>48</v>
      </c>
      <c r="K426" s="6">
        <f t="shared" si="13"/>
        <v>0.625</v>
      </c>
      <c r="L426" t="s">
        <v>49</v>
      </c>
      <c r="M426">
        <f t="shared" si="12"/>
        <v>3</v>
      </c>
      <c r="N426" t="s">
        <v>40</v>
      </c>
      <c r="O426" t="s">
        <v>82</v>
      </c>
      <c r="P426" s="2">
        <v>369</v>
      </c>
      <c r="Q426" t="s">
        <v>104</v>
      </c>
      <c r="R426" t="s">
        <v>68</v>
      </c>
      <c r="S426" t="s">
        <v>69</v>
      </c>
      <c r="T426" t="s">
        <v>59</v>
      </c>
    </row>
    <row r="427" spans="1:20" x14ac:dyDescent="0.25">
      <c r="A427" s="2">
        <v>426</v>
      </c>
      <c r="B427" s="2">
        <v>69596</v>
      </c>
      <c r="C427" t="s">
        <v>51</v>
      </c>
      <c r="D427" t="s">
        <v>66</v>
      </c>
      <c r="E427" t="s">
        <v>76</v>
      </c>
      <c r="F427" t="s">
        <v>77</v>
      </c>
      <c r="G427" t="s">
        <v>92</v>
      </c>
      <c r="H427" t="s">
        <v>23</v>
      </c>
      <c r="I427" t="s">
        <v>67</v>
      </c>
      <c r="J427" t="s">
        <v>86</v>
      </c>
      <c r="K427" s="6">
        <f t="shared" si="13"/>
        <v>2.2000000000000002</v>
      </c>
      <c r="L427" t="s">
        <v>64</v>
      </c>
      <c r="M427">
        <f t="shared" si="12"/>
        <v>7</v>
      </c>
      <c r="N427" t="s">
        <v>27</v>
      </c>
      <c r="O427" t="s">
        <v>103</v>
      </c>
      <c r="P427" s="2">
        <v>777</v>
      </c>
      <c r="Q427" t="s">
        <v>74</v>
      </c>
      <c r="R427" t="s">
        <v>75</v>
      </c>
      <c r="S427" t="s">
        <v>69</v>
      </c>
      <c r="T427" t="s">
        <v>43</v>
      </c>
    </row>
    <row r="428" spans="1:20" x14ac:dyDescent="0.25">
      <c r="A428" s="2">
        <v>427</v>
      </c>
      <c r="B428" s="2">
        <v>91043</v>
      </c>
      <c r="C428" t="s">
        <v>51</v>
      </c>
      <c r="D428" t="s">
        <v>52</v>
      </c>
      <c r="E428" t="s">
        <v>44</v>
      </c>
      <c r="F428" t="s">
        <v>44</v>
      </c>
      <c r="G428" t="s">
        <v>78</v>
      </c>
      <c r="H428" t="s">
        <v>23</v>
      </c>
      <c r="I428" t="s">
        <v>94</v>
      </c>
      <c r="J428" t="s">
        <v>86</v>
      </c>
      <c r="K428" s="6">
        <f t="shared" si="13"/>
        <v>1.5</v>
      </c>
      <c r="L428" t="s">
        <v>64</v>
      </c>
      <c r="M428">
        <f t="shared" si="12"/>
        <v>7</v>
      </c>
      <c r="N428" t="s">
        <v>27</v>
      </c>
      <c r="O428" t="s">
        <v>28</v>
      </c>
      <c r="P428" s="2">
        <v>620</v>
      </c>
      <c r="Q428" t="s">
        <v>41</v>
      </c>
      <c r="R428" t="s">
        <v>75</v>
      </c>
      <c r="S428" t="s">
        <v>69</v>
      </c>
      <c r="T428" t="s">
        <v>43</v>
      </c>
    </row>
    <row r="429" spans="1:20" x14ac:dyDescent="0.25">
      <c r="A429" s="2">
        <v>428</v>
      </c>
      <c r="B429" s="2">
        <v>68592</v>
      </c>
      <c r="C429" t="s">
        <v>33</v>
      </c>
      <c r="D429" t="s">
        <v>66</v>
      </c>
      <c r="E429" t="s">
        <v>53</v>
      </c>
      <c r="F429" t="s">
        <v>54</v>
      </c>
      <c r="G429" t="s">
        <v>92</v>
      </c>
      <c r="H429" t="s">
        <v>73</v>
      </c>
      <c r="I429" t="s">
        <v>83</v>
      </c>
      <c r="J429" t="s">
        <v>39</v>
      </c>
      <c r="K429" s="6">
        <f t="shared" si="13"/>
        <v>1.1000000000000001</v>
      </c>
      <c r="L429" t="s">
        <v>64</v>
      </c>
      <c r="M429">
        <f t="shared" si="12"/>
        <v>7</v>
      </c>
      <c r="N429" t="s">
        <v>27</v>
      </c>
      <c r="O429" t="s">
        <v>28</v>
      </c>
      <c r="P429" s="2">
        <v>948</v>
      </c>
      <c r="Q429" t="s">
        <v>41</v>
      </c>
      <c r="R429" t="s">
        <v>42</v>
      </c>
      <c r="S429" t="s">
        <v>50</v>
      </c>
      <c r="T429" t="s">
        <v>59</v>
      </c>
    </row>
    <row r="430" spans="1:20" x14ac:dyDescent="0.25">
      <c r="A430" s="2">
        <v>429</v>
      </c>
      <c r="B430" s="2">
        <v>87532</v>
      </c>
      <c r="C430" t="s">
        <v>33</v>
      </c>
      <c r="D430" t="s">
        <v>52</v>
      </c>
      <c r="E430" t="s">
        <v>34</v>
      </c>
      <c r="F430" t="s">
        <v>35</v>
      </c>
      <c r="G430" t="s">
        <v>98</v>
      </c>
      <c r="H430" t="s">
        <v>23</v>
      </c>
      <c r="I430" t="s">
        <v>47</v>
      </c>
      <c r="J430" t="s">
        <v>48</v>
      </c>
      <c r="K430" s="6">
        <f t="shared" si="13"/>
        <v>2.5</v>
      </c>
      <c r="L430" t="s">
        <v>64</v>
      </c>
      <c r="M430">
        <f t="shared" si="12"/>
        <v>7</v>
      </c>
      <c r="N430" t="s">
        <v>40</v>
      </c>
      <c r="O430" t="s">
        <v>103</v>
      </c>
      <c r="P430" s="2">
        <v>541</v>
      </c>
      <c r="Q430" t="s">
        <v>29</v>
      </c>
      <c r="R430" t="s">
        <v>30</v>
      </c>
      <c r="S430" t="s">
        <v>58</v>
      </c>
      <c r="T430" t="s">
        <v>43</v>
      </c>
    </row>
    <row r="431" spans="1:20" x14ac:dyDescent="0.25">
      <c r="A431" s="2">
        <v>430</v>
      </c>
      <c r="B431" s="2">
        <v>27580</v>
      </c>
      <c r="C431" t="s">
        <v>51</v>
      </c>
      <c r="D431" t="s">
        <v>52</v>
      </c>
      <c r="E431" t="s">
        <v>84</v>
      </c>
      <c r="F431" t="s">
        <v>85</v>
      </c>
      <c r="G431" t="s">
        <v>92</v>
      </c>
      <c r="H431" t="s">
        <v>73</v>
      </c>
      <c r="I431" t="s">
        <v>91</v>
      </c>
      <c r="J431" t="s">
        <v>57</v>
      </c>
      <c r="K431" s="6">
        <f t="shared" si="13"/>
        <v>2.2000000000000002</v>
      </c>
      <c r="L431" t="s">
        <v>64</v>
      </c>
      <c r="M431">
        <f t="shared" si="12"/>
        <v>7</v>
      </c>
      <c r="N431" t="s">
        <v>40</v>
      </c>
      <c r="O431" t="s">
        <v>103</v>
      </c>
      <c r="P431" s="2">
        <v>1241</v>
      </c>
      <c r="Q431" t="s">
        <v>104</v>
      </c>
      <c r="R431" t="s">
        <v>30</v>
      </c>
      <c r="S431" t="s">
        <v>58</v>
      </c>
      <c r="T431" t="s">
        <v>32</v>
      </c>
    </row>
    <row r="432" spans="1:20" x14ac:dyDescent="0.25">
      <c r="A432" s="2">
        <v>431</v>
      </c>
      <c r="B432" s="2">
        <v>68697</v>
      </c>
      <c r="C432" t="s">
        <v>60</v>
      </c>
      <c r="D432" t="s">
        <v>52</v>
      </c>
      <c r="E432" t="s">
        <v>20</v>
      </c>
      <c r="F432" t="s">
        <v>21</v>
      </c>
      <c r="G432" t="s">
        <v>55</v>
      </c>
      <c r="H432" t="s">
        <v>46</v>
      </c>
      <c r="I432" t="s">
        <v>83</v>
      </c>
      <c r="J432" t="s">
        <v>48</v>
      </c>
      <c r="K432" s="6">
        <f t="shared" si="13"/>
        <v>2.2000000000000002</v>
      </c>
      <c r="L432" t="s">
        <v>64</v>
      </c>
      <c r="M432">
        <f t="shared" si="12"/>
        <v>7</v>
      </c>
      <c r="N432" t="s">
        <v>27</v>
      </c>
      <c r="O432" t="s">
        <v>102</v>
      </c>
      <c r="P432" s="2">
        <v>513</v>
      </c>
      <c r="Q432" t="s">
        <v>74</v>
      </c>
      <c r="R432" t="s">
        <v>75</v>
      </c>
      <c r="S432" t="s">
        <v>58</v>
      </c>
      <c r="T432" t="s">
        <v>32</v>
      </c>
    </row>
    <row r="433" spans="1:20" x14ac:dyDescent="0.25">
      <c r="A433" s="2">
        <v>432</v>
      </c>
      <c r="B433" s="2">
        <v>81956</v>
      </c>
      <c r="C433" t="s">
        <v>19</v>
      </c>
      <c r="D433" t="s">
        <v>52</v>
      </c>
      <c r="E433" t="s">
        <v>61</v>
      </c>
      <c r="F433" t="s">
        <v>62</v>
      </c>
      <c r="G433" t="s">
        <v>22</v>
      </c>
      <c r="H433" t="s">
        <v>71</v>
      </c>
      <c r="I433" t="s">
        <v>38</v>
      </c>
      <c r="J433" t="s">
        <v>57</v>
      </c>
      <c r="K433" s="6">
        <f t="shared" si="13"/>
        <v>1</v>
      </c>
      <c r="L433" t="s">
        <v>64</v>
      </c>
      <c r="M433">
        <f t="shared" si="12"/>
        <v>7</v>
      </c>
      <c r="N433" t="s">
        <v>27</v>
      </c>
      <c r="O433" t="s">
        <v>28</v>
      </c>
      <c r="P433" s="2">
        <v>203</v>
      </c>
      <c r="Q433" t="s">
        <v>29</v>
      </c>
      <c r="R433" t="s">
        <v>42</v>
      </c>
      <c r="S433" t="s">
        <v>58</v>
      </c>
      <c r="T433" t="s">
        <v>59</v>
      </c>
    </row>
    <row r="434" spans="1:20" x14ac:dyDescent="0.25">
      <c r="A434" s="2">
        <v>433</v>
      </c>
      <c r="B434" s="2">
        <v>57158</v>
      </c>
      <c r="C434" t="s">
        <v>51</v>
      </c>
      <c r="D434" t="s">
        <v>52</v>
      </c>
      <c r="E434" t="s">
        <v>99</v>
      </c>
      <c r="F434" t="s">
        <v>100</v>
      </c>
      <c r="G434" t="s">
        <v>36</v>
      </c>
      <c r="H434" t="s">
        <v>23</v>
      </c>
      <c r="I434" t="s">
        <v>83</v>
      </c>
      <c r="J434" t="s">
        <v>86</v>
      </c>
      <c r="K434" s="6">
        <f t="shared" si="13"/>
        <v>1.1000000000000001</v>
      </c>
      <c r="L434" t="s">
        <v>64</v>
      </c>
      <c r="M434">
        <f t="shared" si="12"/>
        <v>7</v>
      </c>
      <c r="N434" t="s">
        <v>27</v>
      </c>
      <c r="O434" t="s">
        <v>103</v>
      </c>
      <c r="P434" s="2">
        <v>421</v>
      </c>
      <c r="Q434" t="s">
        <v>74</v>
      </c>
      <c r="R434" t="s">
        <v>42</v>
      </c>
      <c r="S434" t="s">
        <v>31</v>
      </c>
      <c r="T434" t="s">
        <v>32</v>
      </c>
    </row>
    <row r="435" spans="1:20" x14ac:dyDescent="0.25">
      <c r="A435" s="2">
        <v>434</v>
      </c>
      <c r="B435" s="2">
        <v>71668</v>
      </c>
      <c r="C435" t="s">
        <v>19</v>
      </c>
      <c r="D435" t="s">
        <v>66</v>
      </c>
      <c r="E435" t="s">
        <v>61</v>
      </c>
      <c r="F435" t="s">
        <v>62</v>
      </c>
      <c r="G435" t="s">
        <v>36</v>
      </c>
      <c r="H435" t="s">
        <v>73</v>
      </c>
      <c r="I435" t="s">
        <v>83</v>
      </c>
      <c r="J435" t="s">
        <v>48</v>
      </c>
      <c r="K435" s="6">
        <f t="shared" si="13"/>
        <v>2.2000000000000002</v>
      </c>
      <c r="L435" t="s">
        <v>64</v>
      </c>
      <c r="M435">
        <f t="shared" si="12"/>
        <v>7</v>
      </c>
      <c r="N435" t="s">
        <v>104</v>
      </c>
      <c r="O435" t="s">
        <v>102</v>
      </c>
      <c r="P435" s="2">
        <v>1208</v>
      </c>
      <c r="Q435" t="s">
        <v>41</v>
      </c>
      <c r="R435" t="s">
        <v>30</v>
      </c>
      <c r="S435" t="s">
        <v>31</v>
      </c>
      <c r="T435" t="s">
        <v>59</v>
      </c>
    </row>
    <row r="436" spans="1:20" x14ac:dyDescent="0.25">
      <c r="A436" s="2">
        <v>435</v>
      </c>
      <c r="B436" s="2">
        <v>65790</v>
      </c>
      <c r="C436" t="s">
        <v>96</v>
      </c>
      <c r="D436" t="s">
        <v>52</v>
      </c>
      <c r="E436" t="s">
        <v>61</v>
      </c>
      <c r="F436" t="s">
        <v>62</v>
      </c>
      <c r="G436" t="s">
        <v>98</v>
      </c>
      <c r="H436" t="s">
        <v>23</v>
      </c>
      <c r="I436" t="s">
        <v>91</v>
      </c>
      <c r="J436" t="s">
        <v>57</v>
      </c>
      <c r="K436" s="6">
        <f t="shared" si="13"/>
        <v>0.55000000000000004</v>
      </c>
      <c r="L436" t="s">
        <v>49</v>
      </c>
      <c r="M436">
        <f t="shared" si="12"/>
        <v>3</v>
      </c>
      <c r="N436" t="s">
        <v>104</v>
      </c>
      <c r="O436" t="s">
        <v>72</v>
      </c>
      <c r="P436" s="2">
        <v>632</v>
      </c>
      <c r="Q436" t="s">
        <v>41</v>
      </c>
      <c r="R436" t="s">
        <v>68</v>
      </c>
      <c r="S436" t="s">
        <v>50</v>
      </c>
      <c r="T436" t="s">
        <v>59</v>
      </c>
    </row>
    <row r="437" spans="1:20" x14ac:dyDescent="0.25">
      <c r="A437" s="2">
        <v>436</v>
      </c>
      <c r="B437" s="2">
        <v>26101</v>
      </c>
      <c r="C437" t="s">
        <v>19</v>
      </c>
      <c r="D437" t="s">
        <v>52</v>
      </c>
      <c r="E437" t="s">
        <v>97</v>
      </c>
      <c r="F437" t="s">
        <v>62</v>
      </c>
      <c r="G437" t="s">
        <v>45</v>
      </c>
      <c r="H437" t="s">
        <v>73</v>
      </c>
      <c r="I437" t="s">
        <v>83</v>
      </c>
      <c r="J437" t="s">
        <v>57</v>
      </c>
      <c r="K437" s="6">
        <f t="shared" si="13"/>
        <v>1.1000000000000001</v>
      </c>
      <c r="L437" t="s">
        <v>64</v>
      </c>
      <c r="M437">
        <f t="shared" si="12"/>
        <v>7</v>
      </c>
      <c r="N437" t="s">
        <v>40</v>
      </c>
      <c r="O437" t="s">
        <v>103</v>
      </c>
      <c r="P437" s="2">
        <v>1125</v>
      </c>
      <c r="Q437" t="s">
        <v>29</v>
      </c>
      <c r="R437" t="s">
        <v>42</v>
      </c>
      <c r="S437" t="s">
        <v>58</v>
      </c>
      <c r="T437" t="s">
        <v>59</v>
      </c>
    </row>
    <row r="438" spans="1:20" x14ac:dyDescent="0.25">
      <c r="A438" s="2">
        <v>437</v>
      </c>
      <c r="B438" s="2">
        <v>23102</v>
      </c>
      <c r="C438" t="s">
        <v>33</v>
      </c>
      <c r="D438" t="s">
        <v>52</v>
      </c>
      <c r="E438" t="s">
        <v>84</v>
      </c>
      <c r="F438" t="s">
        <v>85</v>
      </c>
      <c r="G438" t="s">
        <v>92</v>
      </c>
      <c r="H438" t="s">
        <v>37</v>
      </c>
      <c r="I438" t="s">
        <v>47</v>
      </c>
      <c r="J438" t="s">
        <v>48</v>
      </c>
      <c r="K438" s="6">
        <f t="shared" si="13"/>
        <v>2.5</v>
      </c>
      <c r="L438" t="s">
        <v>64</v>
      </c>
      <c r="M438">
        <f t="shared" si="12"/>
        <v>7</v>
      </c>
      <c r="N438" t="s">
        <v>40</v>
      </c>
      <c r="O438" t="s">
        <v>65</v>
      </c>
      <c r="P438" s="2">
        <v>1960</v>
      </c>
      <c r="Q438" t="s">
        <v>104</v>
      </c>
      <c r="R438" t="s">
        <v>30</v>
      </c>
      <c r="S438" t="s">
        <v>31</v>
      </c>
      <c r="T438" t="s">
        <v>32</v>
      </c>
    </row>
    <row r="439" spans="1:20" x14ac:dyDescent="0.25">
      <c r="A439" s="2">
        <v>438</v>
      </c>
      <c r="B439" s="2">
        <v>96785</v>
      </c>
      <c r="C439" t="s">
        <v>51</v>
      </c>
      <c r="D439" t="s">
        <v>66</v>
      </c>
      <c r="E439" t="s">
        <v>34</v>
      </c>
      <c r="F439" t="s">
        <v>35</v>
      </c>
      <c r="G439" t="s">
        <v>63</v>
      </c>
      <c r="H439" t="s">
        <v>73</v>
      </c>
      <c r="I439" t="s">
        <v>67</v>
      </c>
      <c r="J439" t="s">
        <v>39</v>
      </c>
      <c r="K439" s="6">
        <f t="shared" si="13"/>
        <v>2.2000000000000002</v>
      </c>
      <c r="L439" t="s">
        <v>64</v>
      </c>
      <c r="M439">
        <f t="shared" si="12"/>
        <v>7</v>
      </c>
      <c r="N439" t="s">
        <v>40</v>
      </c>
      <c r="O439" t="s">
        <v>65</v>
      </c>
      <c r="P439" s="2">
        <v>926</v>
      </c>
      <c r="Q439" t="s">
        <v>29</v>
      </c>
      <c r="R439" t="s">
        <v>75</v>
      </c>
      <c r="S439" t="s">
        <v>58</v>
      </c>
      <c r="T439" t="s">
        <v>43</v>
      </c>
    </row>
    <row r="440" spans="1:20" x14ac:dyDescent="0.25">
      <c r="A440" s="2">
        <v>439</v>
      </c>
      <c r="B440" s="2">
        <v>16750</v>
      </c>
      <c r="C440" t="s">
        <v>19</v>
      </c>
      <c r="D440" t="s">
        <v>52</v>
      </c>
      <c r="E440" t="s">
        <v>34</v>
      </c>
      <c r="F440" t="s">
        <v>35</v>
      </c>
      <c r="G440" t="s">
        <v>63</v>
      </c>
      <c r="H440" t="s">
        <v>46</v>
      </c>
      <c r="I440" t="s">
        <v>94</v>
      </c>
      <c r="J440" t="s">
        <v>86</v>
      </c>
      <c r="K440" s="6">
        <f t="shared" si="13"/>
        <v>1.5</v>
      </c>
      <c r="L440" t="s">
        <v>49</v>
      </c>
      <c r="M440">
        <f t="shared" si="12"/>
        <v>3</v>
      </c>
      <c r="N440" t="s">
        <v>27</v>
      </c>
      <c r="O440" t="s">
        <v>82</v>
      </c>
      <c r="P440" s="2">
        <v>503</v>
      </c>
      <c r="Q440" t="s">
        <v>74</v>
      </c>
      <c r="R440" t="s">
        <v>75</v>
      </c>
      <c r="S440" t="s">
        <v>69</v>
      </c>
      <c r="T440" t="s">
        <v>43</v>
      </c>
    </row>
    <row r="441" spans="1:20" x14ac:dyDescent="0.25">
      <c r="A441" s="2">
        <v>440</v>
      </c>
      <c r="B441" s="2">
        <v>78945</v>
      </c>
      <c r="C441" t="s">
        <v>51</v>
      </c>
      <c r="D441" t="s">
        <v>66</v>
      </c>
      <c r="E441" t="s">
        <v>61</v>
      </c>
      <c r="F441" t="s">
        <v>62</v>
      </c>
      <c r="G441" t="s">
        <v>81</v>
      </c>
      <c r="H441" t="s">
        <v>46</v>
      </c>
      <c r="I441" t="s">
        <v>94</v>
      </c>
      <c r="J441" t="s">
        <v>25</v>
      </c>
      <c r="K441" s="6">
        <f t="shared" si="13"/>
        <v>0.75</v>
      </c>
      <c r="L441" t="s">
        <v>64</v>
      </c>
      <c r="M441">
        <f t="shared" si="12"/>
        <v>7</v>
      </c>
      <c r="N441" t="s">
        <v>40</v>
      </c>
      <c r="O441" t="s">
        <v>28</v>
      </c>
      <c r="P441" s="2">
        <v>517</v>
      </c>
      <c r="Q441" t="s">
        <v>74</v>
      </c>
      <c r="R441" t="s">
        <v>42</v>
      </c>
      <c r="S441" t="s">
        <v>69</v>
      </c>
      <c r="T441" t="s">
        <v>59</v>
      </c>
    </row>
    <row r="442" spans="1:20" x14ac:dyDescent="0.25">
      <c r="A442" s="2">
        <v>441</v>
      </c>
      <c r="B442" s="2">
        <v>41019</v>
      </c>
      <c r="C442" t="s">
        <v>51</v>
      </c>
      <c r="D442" t="s">
        <v>52</v>
      </c>
      <c r="E442" t="s">
        <v>99</v>
      </c>
      <c r="F442" t="s">
        <v>100</v>
      </c>
      <c r="G442" t="s">
        <v>22</v>
      </c>
      <c r="H442" t="s">
        <v>73</v>
      </c>
      <c r="I442" t="s">
        <v>94</v>
      </c>
      <c r="J442" t="s">
        <v>48</v>
      </c>
      <c r="K442" s="6">
        <f t="shared" si="13"/>
        <v>0.375</v>
      </c>
      <c r="L442" t="s">
        <v>49</v>
      </c>
      <c r="M442">
        <f t="shared" si="12"/>
        <v>3</v>
      </c>
      <c r="N442" t="s">
        <v>27</v>
      </c>
      <c r="O442" t="s">
        <v>103</v>
      </c>
      <c r="P442" s="2">
        <v>1231</v>
      </c>
      <c r="Q442" t="s">
        <v>41</v>
      </c>
      <c r="R442" t="s">
        <v>68</v>
      </c>
      <c r="S442" t="s">
        <v>58</v>
      </c>
      <c r="T442" t="s">
        <v>32</v>
      </c>
    </row>
    <row r="443" spans="1:20" x14ac:dyDescent="0.25">
      <c r="A443" s="2">
        <v>442</v>
      </c>
      <c r="B443" s="2">
        <v>46284</v>
      </c>
      <c r="C443" t="s">
        <v>96</v>
      </c>
      <c r="D443" t="s">
        <v>66</v>
      </c>
      <c r="E443" t="s">
        <v>34</v>
      </c>
      <c r="F443" t="s">
        <v>35</v>
      </c>
      <c r="G443" t="s">
        <v>36</v>
      </c>
      <c r="H443" t="s">
        <v>37</v>
      </c>
      <c r="I443" t="s">
        <v>47</v>
      </c>
      <c r="J443" t="s">
        <v>57</v>
      </c>
      <c r="K443" s="6">
        <f t="shared" si="13"/>
        <v>1.25</v>
      </c>
      <c r="L443" t="s">
        <v>64</v>
      </c>
      <c r="M443">
        <f t="shared" si="12"/>
        <v>7</v>
      </c>
      <c r="N443" t="s">
        <v>40</v>
      </c>
      <c r="O443" t="s">
        <v>103</v>
      </c>
      <c r="P443" s="2">
        <v>1268</v>
      </c>
      <c r="Q443" t="s">
        <v>41</v>
      </c>
      <c r="R443" t="s">
        <v>42</v>
      </c>
      <c r="S443" t="s">
        <v>50</v>
      </c>
      <c r="T443" t="s">
        <v>43</v>
      </c>
    </row>
    <row r="444" spans="1:20" x14ac:dyDescent="0.25">
      <c r="A444" s="2">
        <v>443</v>
      </c>
      <c r="B444" s="2">
        <v>73760</v>
      </c>
      <c r="C444" t="s">
        <v>19</v>
      </c>
      <c r="D444" t="s">
        <v>52</v>
      </c>
      <c r="E444" t="s">
        <v>44</v>
      </c>
      <c r="F444" t="s">
        <v>44</v>
      </c>
      <c r="G444" t="s">
        <v>45</v>
      </c>
      <c r="H444" t="s">
        <v>23</v>
      </c>
      <c r="I444" t="s">
        <v>91</v>
      </c>
      <c r="J444" t="s">
        <v>57</v>
      </c>
      <c r="K444" s="6">
        <f t="shared" si="13"/>
        <v>2.2000000000000002</v>
      </c>
      <c r="L444" t="s">
        <v>64</v>
      </c>
      <c r="M444">
        <f t="shared" si="12"/>
        <v>7</v>
      </c>
      <c r="N444" t="s">
        <v>27</v>
      </c>
      <c r="O444" t="s">
        <v>65</v>
      </c>
      <c r="P444" s="2">
        <v>463</v>
      </c>
      <c r="Q444" t="s">
        <v>29</v>
      </c>
      <c r="R444" t="s">
        <v>75</v>
      </c>
      <c r="S444" t="s">
        <v>50</v>
      </c>
      <c r="T444" t="s">
        <v>43</v>
      </c>
    </row>
    <row r="445" spans="1:20" x14ac:dyDescent="0.25">
      <c r="A445" s="2">
        <v>444</v>
      </c>
      <c r="B445" s="2">
        <v>26064</v>
      </c>
      <c r="C445" t="s">
        <v>96</v>
      </c>
      <c r="D445" t="s">
        <v>52</v>
      </c>
      <c r="E445" t="s">
        <v>20</v>
      </c>
      <c r="F445" t="s">
        <v>21</v>
      </c>
      <c r="G445" t="s">
        <v>78</v>
      </c>
      <c r="H445" t="s">
        <v>37</v>
      </c>
      <c r="I445" t="s">
        <v>24</v>
      </c>
      <c r="J445" t="s">
        <v>25</v>
      </c>
      <c r="K445" s="6">
        <f t="shared" si="13"/>
        <v>0.6</v>
      </c>
      <c r="L445" t="s">
        <v>64</v>
      </c>
      <c r="M445">
        <f t="shared" si="12"/>
        <v>7</v>
      </c>
      <c r="N445" t="s">
        <v>27</v>
      </c>
      <c r="O445" t="s">
        <v>28</v>
      </c>
      <c r="P445" s="2">
        <v>2708</v>
      </c>
      <c r="Q445" t="s">
        <v>29</v>
      </c>
      <c r="R445" t="s">
        <v>68</v>
      </c>
      <c r="S445" t="s">
        <v>58</v>
      </c>
      <c r="T445" t="s">
        <v>32</v>
      </c>
    </row>
    <row r="446" spans="1:20" x14ac:dyDescent="0.25">
      <c r="A446" s="2">
        <v>445</v>
      </c>
      <c r="B446" s="2">
        <v>66385</v>
      </c>
      <c r="C446" t="s">
        <v>33</v>
      </c>
      <c r="D446" t="s">
        <v>66</v>
      </c>
      <c r="E446" t="s">
        <v>95</v>
      </c>
      <c r="F446" t="s">
        <v>21</v>
      </c>
      <c r="G446" t="s">
        <v>36</v>
      </c>
      <c r="H446" t="s">
        <v>71</v>
      </c>
      <c r="I446" t="s">
        <v>24</v>
      </c>
      <c r="J446" t="s">
        <v>25</v>
      </c>
      <c r="K446" s="6">
        <f t="shared" si="13"/>
        <v>1.2</v>
      </c>
      <c r="L446" t="s">
        <v>64</v>
      </c>
      <c r="M446">
        <f t="shared" si="12"/>
        <v>7</v>
      </c>
      <c r="N446" t="s">
        <v>27</v>
      </c>
      <c r="O446" t="s">
        <v>28</v>
      </c>
      <c r="P446" s="2">
        <v>337</v>
      </c>
      <c r="Q446" t="s">
        <v>104</v>
      </c>
      <c r="R446" t="s">
        <v>42</v>
      </c>
      <c r="S446" t="s">
        <v>69</v>
      </c>
      <c r="T446" t="s">
        <v>43</v>
      </c>
    </row>
    <row r="447" spans="1:20" x14ac:dyDescent="0.25">
      <c r="A447" s="2">
        <v>446</v>
      </c>
      <c r="B447" s="2">
        <v>61344</v>
      </c>
      <c r="C447" t="s">
        <v>96</v>
      </c>
      <c r="D447" t="s">
        <v>66</v>
      </c>
      <c r="E447" t="s">
        <v>44</v>
      </c>
      <c r="F447" t="s">
        <v>44</v>
      </c>
      <c r="G447" t="s">
        <v>55</v>
      </c>
      <c r="H447" t="s">
        <v>37</v>
      </c>
      <c r="I447" t="s">
        <v>67</v>
      </c>
      <c r="J447" t="s">
        <v>57</v>
      </c>
      <c r="K447" s="6">
        <f t="shared" si="13"/>
        <v>2.2000000000000002</v>
      </c>
      <c r="L447" t="s">
        <v>64</v>
      </c>
      <c r="M447">
        <f t="shared" si="12"/>
        <v>7</v>
      </c>
      <c r="N447" t="s">
        <v>40</v>
      </c>
      <c r="O447" t="s">
        <v>103</v>
      </c>
      <c r="P447" s="2">
        <v>1654</v>
      </c>
      <c r="Q447" t="s">
        <v>74</v>
      </c>
      <c r="R447" t="s">
        <v>30</v>
      </c>
      <c r="S447" t="s">
        <v>58</v>
      </c>
      <c r="T447" t="s">
        <v>43</v>
      </c>
    </row>
    <row r="448" spans="1:20" x14ac:dyDescent="0.25">
      <c r="A448" s="2">
        <v>447</v>
      </c>
      <c r="B448" s="2">
        <v>32418</v>
      </c>
      <c r="C448" t="s">
        <v>51</v>
      </c>
      <c r="D448" t="s">
        <v>52</v>
      </c>
      <c r="E448" t="s">
        <v>87</v>
      </c>
      <c r="F448" t="s">
        <v>88</v>
      </c>
      <c r="G448" t="s">
        <v>92</v>
      </c>
      <c r="H448" t="s">
        <v>73</v>
      </c>
      <c r="I448" t="s">
        <v>47</v>
      </c>
      <c r="J448" t="s">
        <v>25</v>
      </c>
      <c r="K448" s="6">
        <f t="shared" si="13"/>
        <v>0.625</v>
      </c>
      <c r="L448" t="s">
        <v>26</v>
      </c>
      <c r="M448">
        <f t="shared" si="12"/>
        <v>1</v>
      </c>
      <c r="N448" t="s">
        <v>40</v>
      </c>
      <c r="O448" t="s">
        <v>82</v>
      </c>
      <c r="P448" s="2">
        <v>1298</v>
      </c>
      <c r="Q448" t="s">
        <v>41</v>
      </c>
      <c r="R448" t="s">
        <v>68</v>
      </c>
      <c r="S448" t="s">
        <v>58</v>
      </c>
      <c r="T448" t="s">
        <v>59</v>
      </c>
    </row>
    <row r="449" spans="1:20" x14ac:dyDescent="0.25">
      <c r="A449" s="2">
        <v>448</v>
      </c>
      <c r="B449" s="2">
        <v>67040</v>
      </c>
      <c r="C449" t="s">
        <v>60</v>
      </c>
      <c r="D449" t="s">
        <v>52</v>
      </c>
      <c r="E449" t="s">
        <v>44</v>
      </c>
      <c r="F449" t="s">
        <v>44</v>
      </c>
      <c r="G449" t="s">
        <v>81</v>
      </c>
      <c r="H449" t="s">
        <v>73</v>
      </c>
      <c r="I449" t="s">
        <v>38</v>
      </c>
      <c r="J449" t="s">
        <v>57</v>
      </c>
      <c r="K449" s="6">
        <f t="shared" si="13"/>
        <v>1</v>
      </c>
      <c r="L449" t="s">
        <v>26</v>
      </c>
      <c r="M449">
        <f t="shared" si="12"/>
        <v>1</v>
      </c>
      <c r="N449" t="s">
        <v>40</v>
      </c>
      <c r="O449" t="s">
        <v>28</v>
      </c>
      <c r="P449" s="2">
        <v>1225</v>
      </c>
      <c r="Q449" t="s">
        <v>104</v>
      </c>
      <c r="R449" t="s">
        <v>42</v>
      </c>
      <c r="S449" t="s">
        <v>69</v>
      </c>
      <c r="T449" t="s">
        <v>43</v>
      </c>
    </row>
    <row r="450" spans="1:20" x14ac:dyDescent="0.25">
      <c r="A450" s="2">
        <v>449</v>
      </c>
      <c r="B450" s="2">
        <v>45379</v>
      </c>
      <c r="C450" t="s">
        <v>96</v>
      </c>
      <c r="D450" t="s">
        <v>52</v>
      </c>
      <c r="E450" t="s">
        <v>53</v>
      </c>
      <c r="F450" t="s">
        <v>54</v>
      </c>
      <c r="G450" t="s">
        <v>81</v>
      </c>
      <c r="H450" t="s">
        <v>71</v>
      </c>
      <c r="I450" t="s">
        <v>38</v>
      </c>
      <c r="J450" t="s">
        <v>57</v>
      </c>
      <c r="K450" s="6">
        <f t="shared" si="13"/>
        <v>2</v>
      </c>
      <c r="L450" t="s">
        <v>64</v>
      </c>
      <c r="M450">
        <f t="shared" ref="M450:M513" si="14">IF(L450="daily",7,IF(L450="weekly",3,1))</f>
        <v>7</v>
      </c>
      <c r="N450" t="s">
        <v>27</v>
      </c>
      <c r="O450" t="s">
        <v>72</v>
      </c>
      <c r="P450" s="2">
        <v>361</v>
      </c>
      <c r="Q450" t="s">
        <v>41</v>
      </c>
      <c r="R450" t="s">
        <v>30</v>
      </c>
      <c r="S450" t="s">
        <v>31</v>
      </c>
      <c r="T450" t="s">
        <v>59</v>
      </c>
    </row>
    <row r="451" spans="1:20" x14ac:dyDescent="0.25">
      <c r="A451" s="2">
        <v>450</v>
      </c>
      <c r="B451" s="2">
        <v>96824</v>
      </c>
      <c r="C451" t="s">
        <v>51</v>
      </c>
      <c r="D451" t="s">
        <v>52</v>
      </c>
      <c r="E451" t="s">
        <v>61</v>
      </c>
      <c r="F451" t="s">
        <v>62</v>
      </c>
      <c r="G451" t="s">
        <v>78</v>
      </c>
      <c r="H451" t="s">
        <v>73</v>
      </c>
      <c r="I451" t="s">
        <v>67</v>
      </c>
      <c r="J451" t="s">
        <v>25</v>
      </c>
      <c r="K451" s="6">
        <f t="shared" ref="K451:K514" si="15">IF(R451="Morning",2,IF(R451="Night",2,IF(R451="Evening",1,0.5)))
*
IF(I451="Espresso",0.75,IF(I451="Cold Brew",1.25,IF(I451="Filter Coffee",1.2,IF(I451="Instant Coffee",1,1.1))))</f>
        <v>2.2000000000000002</v>
      </c>
      <c r="L451" t="s">
        <v>64</v>
      </c>
      <c r="M451">
        <f t="shared" si="14"/>
        <v>7</v>
      </c>
      <c r="N451" t="s">
        <v>104</v>
      </c>
      <c r="O451" t="s">
        <v>28</v>
      </c>
      <c r="P451" s="2">
        <v>931</v>
      </c>
      <c r="Q451" t="s">
        <v>104</v>
      </c>
      <c r="R451" t="s">
        <v>75</v>
      </c>
      <c r="S451" t="s">
        <v>50</v>
      </c>
      <c r="T451" t="s">
        <v>59</v>
      </c>
    </row>
    <row r="452" spans="1:20" x14ac:dyDescent="0.25">
      <c r="A452" s="2">
        <v>451</v>
      </c>
      <c r="B452" s="2">
        <v>23611</v>
      </c>
      <c r="C452" t="s">
        <v>19</v>
      </c>
      <c r="D452" t="s">
        <v>66</v>
      </c>
      <c r="E452" t="s">
        <v>53</v>
      </c>
      <c r="F452" t="s">
        <v>54</v>
      </c>
      <c r="G452" t="s">
        <v>78</v>
      </c>
      <c r="H452" t="s">
        <v>71</v>
      </c>
      <c r="I452" t="s">
        <v>38</v>
      </c>
      <c r="J452" t="s">
        <v>48</v>
      </c>
      <c r="K452" s="6">
        <f t="shared" si="15"/>
        <v>1</v>
      </c>
      <c r="L452" t="s">
        <v>64</v>
      </c>
      <c r="M452">
        <f t="shared" si="14"/>
        <v>7</v>
      </c>
      <c r="N452" t="s">
        <v>27</v>
      </c>
      <c r="O452" t="s">
        <v>103</v>
      </c>
      <c r="P452" s="2">
        <v>331</v>
      </c>
      <c r="Q452" t="s">
        <v>41</v>
      </c>
      <c r="R452" t="s">
        <v>42</v>
      </c>
      <c r="S452" t="s">
        <v>69</v>
      </c>
      <c r="T452" t="s">
        <v>59</v>
      </c>
    </row>
    <row r="453" spans="1:20" x14ac:dyDescent="0.25">
      <c r="A453" s="2">
        <v>452</v>
      </c>
      <c r="B453" s="2">
        <v>74912</v>
      </c>
      <c r="C453" t="s">
        <v>33</v>
      </c>
      <c r="D453" t="s">
        <v>66</v>
      </c>
      <c r="E453" t="s">
        <v>97</v>
      </c>
      <c r="F453" t="s">
        <v>62</v>
      </c>
      <c r="G453" t="s">
        <v>70</v>
      </c>
      <c r="H453" t="s">
        <v>46</v>
      </c>
      <c r="I453" t="s">
        <v>47</v>
      </c>
      <c r="J453" t="s">
        <v>48</v>
      </c>
      <c r="K453" s="6">
        <f t="shared" si="15"/>
        <v>0.625</v>
      </c>
      <c r="L453" t="s">
        <v>64</v>
      </c>
      <c r="M453">
        <f t="shared" si="14"/>
        <v>7</v>
      </c>
      <c r="N453" t="s">
        <v>104</v>
      </c>
      <c r="O453" t="s">
        <v>102</v>
      </c>
      <c r="P453" s="2">
        <v>294</v>
      </c>
      <c r="Q453" t="s">
        <v>104</v>
      </c>
      <c r="R453" t="s">
        <v>68</v>
      </c>
      <c r="S453" t="s">
        <v>69</v>
      </c>
      <c r="T453" t="s">
        <v>59</v>
      </c>
    </row>
    <row r="454" spans="1:20" x14ac:dyDescent="0.25">
      <c r="A454" s="2">
        <v>453</v>
      </c>
      <c r="B454" s="2">
        <v>46895</v>
      </c>
      <c r="C454" t="s">
        <v>51</v>
      </c>
      <c r="D454" t="s">
        <v>52</v>
      </c>
      <c r="E454" t="s">
        <v>101</v>
      </c>
      <c r="F454" t="s">
        <v>80</v>
      </c>
      <c r="G454" t="s">
        <v>92</v>
      </c>
      <c r="H454" t="s">
        <v>37</v>
      </c>
      <c r="I454" t="s">
        <v>91</v>
      </c>
      <c r="J454" t="s">
        <v>25</v>
      </c>
      <c r="K454" s="6">
        <f t="shared" si="15"/>
        <v>1.1000000000000001</v>
      </c>
      <c r="L454" t="s">
        <v>49</v>
      </c>
      <c r="M454">
        <f t="shared" si="14"/>
        <v>3</v>
      </c>
      <c r="N454" t="s">
        <v>40</v>
      </c>
      <c r="O454" t="s">
        <v>103</v>
      </c>
      <c r="P454" s="2">
        <v>2069</v>
      </c>
      <c r="Q454" t="s">
        <v>104</v>
      </c>
      <c r="R454" t="s">
        <v>42</v>
      </c>
      <c r="S454" t="s">
        <v>31</v>
      </c>
      <c r="T454" t="s">
        <v>32</v>
      </c>
    </row>
    <row r="455" spans="1:20" x14ac:dyDescent="0.25">
      <c r="A455" s="2">
        <v>454</v>
      </c>
      <c r="B455" s="2">
        <v>95991</v>
      </c>
      <c r="C455" t="s">
        <v>33</v>
      </c>
      <c r="D455" t="s">
        <v>52</v>
      </c>
      <c r="E455" t="s">
        <v>84</v>
      </c>
      <c r="F455" t="s">
        <v>85</v>
      </c>
      <c r="G455" t="s">
        <v>45</v>
      </c>
      <c r="H455" t="s">
        <v>23</v>
      </c>
      <c r="I455" t="s">
        <v>83</v>
      </c>
      <c r="J455" t="s">
        <v>57</v>
      </c>
      <c r="K455" s="6">
        <f t="shared" si="15"/>
        <v>2.2000000000000002</v>
      </c>
      <c r="L455" t="s">
        <v>64</v>
      </c>
      <c r="M455">
        <f t="shared" si="14"/>
        <v>7</v>
      </c>
      <c r="N455" t="s">
        <v>104</v>
      </c>
      <c r="O455" t="s">
        <v>82</v>
      </c>
      <c r="P455" s="2">
        <v>881</v>
      </c>
      <c r="Q455" t="s">
        <v>41</v>
      </c>
      <c r="R455" t="s">
        <v>30</v>
      </c>
      <c r="S455" t="s">
        <v>50</v>
      </c>
      <c r="T455" t="s">
        <v>32</v>
      </c>
    </row>
    <row r="456" spans="1:20" x14ac:dyDescent="0.25">
      <c r="A456" s="2">
        <v>455</v>
      </c>
      <c r="B456" s="2">
        <v>68594</v>
      </c>
      <c r="C456" t="s">
        <v>51</v>
      </c>
      <c r="D456" t="s">
        <v>52</v>
      </c>
      <c r="E456" t="s">
        <v>76</v>
      </c>
      <c r="F456" t="s">
        <v>77</v>
      </c>
      <c r="G456" t="s">
        <v>36</v>
      </c>
      <c r="H456" t="s">
        <v>23</v>
      </c>
      <c r="I456" t="s">
        <v>24</v>
      </c>
      <c r="J456" t="s">
        <v>57</v>
      </c>
      <c r="K456" s="6">
        <f t="shared" si="15"/>
        <v>2.4</v>
      </c>
      <c r="L456" t="s">
        <v>64</v>
      </c>
      <c r="M456">
        <f t="shared" si="14"/>
        <v>7</v>
      </c>
      <c r="N456" t="s">
        <v>40</v>
      </c>
      <c r="O456" t="s">
        <v>28</v>
      </c>
      <c r="P456" s="2">
        <v>590</v>
      </c>
      <c r="Q456" t="s">
        <v>41</v>
      </c>
      <c r="R456" t="s">
        <v>75</v>
      </c>
      <c r="S456" t="s">
        <v>50</v>
      </c>
      <c r="T456" t="s">
        <v>43</v>
      </c>
    </row>
    <row r="457" spans="1:20" x14ac:dyDescent="0.25">
      <c r="A457" s="2">
        <v>456</v>
      </c>
      <c r="B457" s="2">
        <v>56830</v>
      </c>
      <c r="C457" t="s">
        <v>51</v>
      </c>
      <c r="D457" t="s">
        <v>66</v>
      </c>
      <c r="E457" t="s">
        <v>34</v>
      </c>
      <c r="F457" t="s">
        <v>35</v>
      </c>
      <c r="G457" t="s">
        <v>22</v>
      </c>
      <c r="H457" t="s">
        <v>46</v>
      </c>
      <c r="I457" t="s">
        <v>47</v>
      </c>
      <c r="J457" t="s">
        <v>57</v>
      </c>
      <c r="K457" s="6">
        <f t="shared" si="15"/>
        <v>0.625</v>
      </c>
      <c r="L457" t="s">
        <v>49</v>
      </c>
      <c r="M457">
        <f t="shared" si="14"/>
        <v>3</v>
      </c>
      <c r="N457" t="s">
        <v>104</v>
      </c>
      <c r="O457" t="s">
        <v>102</v>
      </c>
      <c r="P457" s="2">
        <v>570</v>
      </c>
      <c r="Q457" t="s">
        <v>104</v>
      </c>
      <c r="R457" t="s">
        <v>68</v>
      </c>
      <c r="S457" t="s">
        <v>50</v>
      </c>
      <c r="T457" t="s">
        <v>43</v>
      </c>
    </row>
    <row r="458" spans="1:20" x14ac:dyDescent="0.25">
      <c r="A458" s="2">
        <v>457</v>
      </c>
      <c r="B458" s="2">
        <v>76604</v>
      </c>
      <c r="C458" t="s">
        <v>51</v>
      </c>
      <c r="D458" t="s">
        <v>66</v>
      </c>
      <c r="E458" t="s">
        <v>87</v>
      </c>
      <c r="F458" t="s">
        <v>88</v>
      </c>
      <c r="G458" t="s">
        <v>45</v>
      </c>
      <c r="H458" t="s">
        <v>71</v>
      </c>
      <c r="I458" t="s">
        <v>24</v>
      </c>
      <c r="J458" t="s">
        <v>25</v>
      </c>
      <c r="K458" s="6">
        <f t="shared" si="15"/>
        <v>1.2</v>
      </c>
      <c r="L458" t="s">
        <v>49</v>
      </c>
      <c r="M458">
        <f t="shared" si="14"/>
        <v>3</v>
      </c>
      <c r="N458" t="s">
        <v>27</v>
      </c>
      <c r="O458" t="s">
        <v>28</v>
      </c>
      <c r="P458" s="2">
        <v>361</v>
      </c>
      <c r="Q458" t="s">
        <v>74</v>
      </c>
      <c r="R458" t="s">
        <v>42</v>
      </c>
      <c r="S458" t="s">
        <v>50</v>
      </c>
      <c r="T458" t="s">
        <v>59</v>
      </c>
    </row>
    <row r="459" spans="1:20" x14ac:dyDescent="0.25">
      <c r="A459" s="2">
        <v>458</v>
      </c>
      <c r="B459" s="2">
        <v>28467</v>
      </c>
      <c r="C459" t="s">
        <v>19</v>
      </c>
      <c r="D459" t="s">
        <v>52</v>
      </c>
      <c r="E459" t="s">
        <v>76</v>
      </c>
      <c r="F459" t="s">
        <v>77</v>
      </c>
      <c r="G459" t="s">
        <v>22</v>
      </c>
      <c r="H459" t="s">
        <v>46</v>
      </c>
      <c r="I459" t="s">
        <v>91</v>
      </c>
      <c r="J459" t="s">
        <v>25</v>
      </c>
      <c r="K459" s="6">
        <f t="shared" si="15"/>
        <v>2.2000000000000002</v>
      </c>
      <c r="L459" t="s">
        <v>64</v>
      </c>
      <c r="M459">
        <f t="shared" si="14"/>
        <v>7</v>
      </c>
      <c r="N459" t="s">
        <v>27</v>
      </c>
      <c r="O459" t="s">
        <v>28</v>
      </c>
      <c r="P459" s="2">
        <v>323</v>
      </c>
      <c r="Q459" t="s">
        <v>29</v>
      </c>
      <c r="R459" t="s">
        <v>75</v>
      </c>
      <c r="S459" t="s">
        <v>31</v>
      </c>
      <c r="T459" t="s">
        <v>43</v>
      </c>
    </row>
    <row r="460" spans="1:20" x14ac:dyDescent="0.25">
      <c r="A460" s="2">
        <v>459</v>
      </c>
      <c r="B460" s="2">
        <v>27221</v>
      </c>
      <c r="C460" t="s">
        <v>19</v>
      </c>
      <c r="D460" t="s">
        <v>66</v>
      </c>
      <c r="E460" t="s">
        <v>84</v>
      </c>
      <c r="F460" t="s">
        <v>85</v>
      </c>
      <c r="G460" t="s">
        <v>81</v>
      </c>
      <c r="H460" t="s">
        <v>73</v>
      </c>
      <c r="I460" t="s">
        <v>83</v>
      </c>
      <c r="J460" t="s">
        <v>57</v>
      </c>
      <c r="K460" s="6">
        <f t="shared" si="15"/>
        <v>0.55000000000000004</v>
      </c>
      <c r="L460" t="s">
        <v>26</v>
      </c>
      <c r="M460">
        <f t="shared" si="14"/>
        <v>1</v>
      </c>
      <c r="N460" t="s">
        <v>40</v>
      </c>
      <c r="O460" t="s">
        <v>103</v>
      </c>
      <c r="P460" s="2">
        <v>1451</v>
      </c>
      <c r="Q460" t="s">
        <v>74</v>
      </c>
      <c r="R460" t="s">
        <v>68</v>
      </c>
      <c r="S460" t="s">
        <v>50</v>
      </c>
      <c r="T460" t="s">
        <v>32</v>
      </c>
    </row>
    <row r="461" spans="1:20" x14ac:dyDescent="0.25">
      <c r="A461" s="2">
        <v>460</v>
      </c>
      <c r="B461" s="2">
        <v>89342</v>
      </c>
      <c r="C461" t="s">
        <v>51</v>
      </c>
      <c r="D461" t="s">
        <v>52</v>
      </c>
      <c r="E461" t="s">
        <v>101</v>
      </c>
      <c r="F461" t="s">
        <v>80</v>
      </c>
      <c r="G461" t="s">
        <v>70</v>
      </c>
      <c r="H461" t="s">
        <v>71</v>
      </c>
      <c r="I461" t="s">
        <v>47</v>
      </c>
      <c r="J461" t="s">
        <v>57</v>
      </c>
      <c r="K461" s="6">
        <f t="shared" si="15"/>
        <v>2.5</v>
      </c>
      <c r="L461" t="s">
        <v>64</v>
      </c>
      <c r="M461">
        <f t="shared" si="14"/>
        <v>7</v>
      </c>
      <c r="N461" t="s">
        <v>40</v>
      </c>
      <c r="O461" t="s">
        <v>65</v>
      </c>
      <c r="P461" s="2">
        <v>239</v>
      </c>
      <c r="Q461" t="s">
        <v>104</v>
      </c>
      <c r="R461" t="s">
        <v>75</v>
      </c>
      <c r="S461" t="s">
        <v>69</v>
      </c>
      <c r="T461" t="s">
        <v>32</v>
      </c>
    </row>
    <row r="462" spans="1:20" x14ac:dyDescent="0.25">
      <c r="A462" s="2">
        <v>461</v>
      </c>
      <c r="B462" s="2">
        <v>22948</v>
      </c>
      <c r="C462" t="s">
        <v>51</v>
      </c>
      <c r="D462" t="s">
        <v>52</v>
      </c>
      <c r="E462" t="s">
        <v>34</v>
      </c>
      <c r="F462" t="s">
        <v>35</v>
      </c>
      <c r="G462" t="s">
        <v>92</v>
      </c>
      <c r="H462" t="s">
        <v>71</v>
      </c>
      <c r="I462" t="s">
        <v>24</v>
      </c>
      <c r="J462" t="s">
        <v>57</v>
      </c>
      <c r="K462" s="6">
        <f t="shared" si="15"/>
        <v>1.2</v>
      </c>
      <c r="L462" t="s">
        <v>64</v>
      </c>
      <c r="M462">
        <f t="shared" si="14"/>
        <v>7</v>
      </c>
      <c r="N462" t="s">
        <v>27</v>
      </c>
      <c r="O462" t="s">
        <v>103</v>
      </c>
      <c r="P462" s="2">
        <v>256</v>
      </c>
      <c r="Q462" t="s">
        <v>41</v>
      </c>
      <c r="R462" t="s">
        <v>42</v>
      </c>
      <c r="S462" t="s">
        <v>69</v>
      </c>
      <c r="T462" t="s">
        <v>43</v>
      </c>
    </row>
    <row r="463" spans="1:20" x14ac:dyDescent="0.25">
      <c r="A463" s="2">
        <v>462</v>
      </c>
      <c r="B463" s="2">
        <v>58138</v>
      </c>
      <c r="C463" t="s">
        <v>96</v>
      </c>
      <c r="D463" t="s">
        <v>52</v>
      </c>
      <c r="E463" t="s">
        <v>34</v>
      </c>
      <c r="F463" t="s">
        <v>35</v>
      </c>
      <c r="G463" t="s">
        <v>36</v>
      </c>
      <c r="H463" t="s">
        <v>73</v>
      </c>
      <c r="I463" t="s">
        <v>38</v>
      </c>
      <c r="J463" t="s">
        <v>48</v>
      </c>
      <c r="K463" s="6">
        <f t="shared" si="15"/>
        <v>2</v>
      </c>
      <c r="L463" t="s">
        <v>49</v>
      </c>
      <c r="M463">
        <f t="shared" si="14"/>
        <v>3</v>
      </c>
      <c r="N463" t="s">
        <v>104</v>
      </c>
      <c r="O463" t="s">
        <v>82</v>
      </c>
      <c r="P463" s="2">
        <v>1196</v>
      </c>
      <c r="Q463" t="s">
        <v>41</v>
      </c>
      <c r="R463" t="s">
        <v>75</v>
      </c>
      <c r="S463" t="s">
        <v>50</v>
      </c>
      <c r="T463" t="s">
        <v>43</v>
      </c>
    </row>
    <row r="464" spans="1:20" x14ac:dyDescent="0.25">
      <c r="A464" s="2">
        <v>463</v>
      </c>
      <c r="B464" s="2">
        <v>77122</v>
      </c>
      <c r="C464" t="s">
        <v>51</v>
      </c>
      <c r="D464" t="s">
        <v>52</v>
      </c>
      <c r="E464" t="s">
        <v>76</v>
      </c>
      <c r="F464" t="s">
        <v>77</v>
      </c>
      <c r="G464" t="s">
        <v>36</v>
      </c>
      <c r="H464" t="s">
        <v>23</v>
      </c>
      <c r="I464" t="s">
        <v>24</v>
      </c>
      <c r="J464" t="s">
        <v>57</v>
      </c>
      <c r="K464" s="6">
        <f t="shared" si="15"/>
        <v>2.4</v>
      </c>
      <c r="L464" t="s">
        <v>64</v>
      </c>
      <c r="M464">
        <f t="shared" si="14"/>
        <v>7</v>
      </c>
      <c r="N464" t="s">
        <v>104</v>
      </c>
      <c r="O464" t="s">
        <v>103</v>
      </c>
      <c r="P464" s="2">
        <v>748</v>
      </c>
      <c r="Q464" t="s">
        <v>41</v>
      </c>
      <c r="R464" t="s">
        <v>75</v>
      </c>
      <c r="S464" t="s">
        <v>69</v>
      </c>
      <c r="T464" t="s">
        <v>43</v>
      </c>
    </row>
    <row r="465" spans="1:20" x14ac:dyDescent="0.25">
      <c r="A465" s="2">
        <v>464</v>
      </c>
      <c r="B465" s="2">
        <v>49379</v>
      </c>
      <c r="C465" t="s">
        <v>19</v>
      </c>
      <c r="D465" t="s">
        <v>66</v>
      </c>
      <c r="E465" t="s">
        <v>99</v>
      </c>
      <c r="F465" t="s">
        <v>100</v>
      </c>
      <c r="G465" t="s">
        <v>98</v>
      </c>
      <c r="H465" t="s">
        <v>73</v>
      </c>
      <c r="I465" t="s">
        <v>94</v>
      </c>
      <c r="J465" t="s">
        <v>57</v>
      </c>
      <c r="K465" s="6">
        <f t="shared" si="15"/>
        <v>1.5</v>
      </c>
      <c r="L465" t="s">
        <v>64</v>
      </c>
      <c r="M465">
        <f t="shared" si="14"/>
        <v>7</v>
      </c>
      <c r="N465" t="s">
        <v>40</v>
      </c>
      <c r="O465" t="s">
        <v>103</v>
      </c>
      <c r="P465" s="2">
        <v>1214</v>
      </c>
      <c r="Q465" t="s">
        <v>29</v>
      </c>
      <c r="R465" t="s">
        <v>75</v>
      </c>
      <c r="S465" t="s">
        <v>50</v>
      </c>
      <c r="T465" t="s">
        <v>32</v>
      </c>
    </row>
    <row r="466" spans="1:20" x14ac:dyDescent="0.25">
      <c r="A466" s="2">
        <v>465</v>
      </c>
      <c r="B466" s="2">
        <v>68509</v>
      </c>
      <c r="C466" t="s">
        <v>51</v>
      </c>
      <c r="D466" t="s">
        <v>52</v>
      </c>
      <c r="E466" t="s">
        <v>95</v>
      </c>
      <c r="F466" t="s">
        <v>21</v>
      </c>
      <c r="G466" t="s">
        <v>55</v>
      </c>
      <c r="H466" t="s">
        <v>23</v>
      </c>
      <c r="I466" t="s">
        <v>24</v>
      </c>
      <c r="J466" t="s">
        <v>25</v>
      </c>
      <c r="K466" s="6">
        <f t="shared" si="15"/>
        <v>1.2</v>
      </c>
      <c r="L466" t="s">
        <v>49</v>
      </c>
      <c r="M466">
        <f t="shared" si="14"/>
        <v>3</v>
      </c>
      <c r="N466" t="s">
        <v>104</v>
      </c>
      <c r="O466" t="s">
        <v>65</v>
      </c>
      <c r="P466" s="2">
        <v>738</v>
      </c>
      <c r="Q466" t="s">
        <v>29</v>
      </c>
      <c r="R466" t="s">
        <v>42</v>
      </c>
      <c r="S466" t="s">
        <v>58</v>
      </c>
      <c r="T466" t="s">
        <v>43</v>
      </c>
    </row>
    <row r="467" spans="1:20" x14ac:dyDescent="0.25">
      <c r="A467" s="2">
        <v>466</v>
      </c>
      <c r="B467" s="2">
        <v>32646</v>
      </c>
      <c r="C467" t="s">
        <v>19</v>
      </c>
      <c r="D467" t="s">
        <v>52</v>
      </c>
      <c r="E467" t="s">
        <v>84</v>
      </c>
      <c r="F467" t="s">
        <v>85</v>
      </c>
      <c r="G467" t="s">
        <v>81</v>
      </c>
      <c r="H467" t="s">
        <v>73</v>
      </c>
      <c r="I467" t="s">
        <v>56</v>
      </c>
      <c r="J467" t="s">
        <v>57</v>
      </c>
      <c r="K467" s="6">
        <f t="shared" si="15"/>
        <v>2.2000000000000002</v>
      </c>
      <c r="L467" t="s">
        <v>49</v>
      </c>
      <c r="M467">
        <f t="shared" si="14"/>
        <v>3</v>
      </c>
      <c r="N467" t="s">
        <v>104</v>
      </c>
      <c r="O467" t="s">
        <v>102</v>
      </c>
      <c r="P467" s="2">
        <v>970</v>
      </c>
      <c r="Q467" t="s">
        <v>41</v>
      </c>
      <c r="R467" t="s">
        <v>75</v>
      </c>
      <c r="S467" t="s">
        <v>31</v>
      </c>
      <c r="T467" t="s">
        <v>32</v>
      </c>
    </row>
    <row r="468" spans="1:20" x14ac:dyDescent="0.25">
      <c r="A468" s="2">
        <v>467</v>
      </c>
      <c r="B468" s="2">
        <v>42455</v>
      </c>
      <c r="C468" t="s">
        <v>51</v>
      </c>
      <c r="D468" t="s">
        <v>52</v>
      </c>
      <c r="E468" t="s">
        <v>44</v>
      </c>
      <c r="F468" t="s">
        <v>44</v>
      </c>
      <c r="G468" t="s">
        <v>70</v>
      </c>
      <c r="H468" t="s">
        <v>71</v>
      </c>
      <c r="I468" t="s">
        <v>24</v>
      </c>
      <c r="J468" t="s">
        <v>86</v>
      </c>
      <c r="K468" s="6">
        <f t="shared" si="15"/>
        <v>2.4</v>
      </c>
      <c r="L468" t="s">
        <v>64</v>
      </c>
      <c r="M468">
        <f t="shared" si="14"/>
        <v>7</v>
      </c>
      <c r="N468" t="s">
        <v>27</v>
      </c>
      <c r="O468" t="s">
        <v>103</v>
      </c>
      <c r="P468" s="2">
        <v>191</v>
      </c>
      <c r="Q468" t="s">
        <v>41</v>
      </c>
      <c r="R468" t="s">
        <v>30</v>
      </c>
      <c r="S468" t="s">
        <v>50</v>
      </c>
      <c r="T468" t="s">
        <v>43</v>
      </c>
    </row>
    <row r="469" spans="1:20" x14ac:dyDescent="0.25">
      <c r="A469" s="2">
        <v>468</v>
      </c>
      <c r="B469" s="2">
        <v>95254</v>
      </c>
      <c r="C469" t="s">
        <v>19</v>
      </c>
      <c r="D469" t="s">
        <v>52</v>
      </c>
      <c r="E469" t="s">
        <v>20</v>
      </c>
      <c r="F469" t="s">
        <v>21</v>
      </c>
      <c r="G469" t="s">
        <v>55</v>
      </c>
      <c r="H469" t="s">
        <v>71</v>
      </c>
      <c r="I469" t="s">
        <v>24</v>
      </c>
      <c r="J469" t="s">
        <v>25</v>
      </c>
      <c r="K469" s="6">
        <f t="shared" si="15"/>
        <v>2.4</v>
      </c>
      <c r="L469" t="s">
        <v>49</v>
      </c>
      <c r="M469">
        <f t="shared" si="14"/>
        <v>3</v>
      </c>
      <c r="N469" t="s">
        <v>40</v>
      </c>
      <c r="O469" t="s">
        <v>28</v>
      </c>
      <c r="P469" s="2">
        <v>160</v>
      </c>
      <c r="Q469" t="s">
        <v>29</v>
      </c>
      <c r="R469" t="s">
        <v>30</v>
      </c>
      <c r="S469" t="s">
        <v>69</v>
      </c>
      <c r="T469" t="s">
        <v>32</v>
      </c>
    </row>
    <row r="470" spans="1:20" x14ac:dyDescent="0.25">
      <c r="A470" s="2">
        <v>469</v>
      </c>
      <c r="B470" s="2">
        <v>62232</v>
      </c>
      <c r="C470" t="s">
        <v>51</v>
      </c>
      <c r="D470" t="s">
        <v>52</v>
      </c>
      <c r="E470" t="s">
        <v>87</v>
      </c>
      <c r="F470" t="s">
        <v>88</v>
      </c>
      <c r="G470" t="s">
        <v>70</v>
      </c>
      <c r="H470" t="s">
        <v>73</v>
      </c>
      <c r="I470" t="s">
        <v>47</v>
      </c>
      <c r="J470" t="s">
        <v>57</v>
      </c>
      <c r="K470" s="6">
        <f t="shared" si="15"/>
        <v>2.5</v>
      </c>
      <c r="L470" t="s">
        <v>64</v>
      </c>
      <c r="M470">
        <f t="shared" si="14"/>
        <v>7</v>
      </c>
      <c r="N470" t="s">
        <v>104</v>
      </c>
      <c r="O470" t="s">
        <v>28</v>
      </c>
      <c r="P470" s="2">
        <v>1419</v>
      </c>
      <c r="Q470" t="s">
        <v>104</v>
      </c>
      <c r="R470" t="s">
        <v>30</v>
      </c>
      <c r="S470" t="s">
        <v>31</v>
      </c>
      <c r="T470" t="s">
        <v>59</v>
      </c>
    </row>
    <row r="471" spans="1:20" x14ac:dyDescent="0.25">
      <c r="A471" s="2">
        <v>470</v>
      </c>
      <c r="B471" s="2">
        <v>71143</v>
      </c>
      <c r="C471" t="s">
        <v>51</v>
      </c>
      <c r="D471" t="s">
        <v>66</v>
      </c>
      <c r="E471" t="s">
        <v>97</v>
      </c>
      <c r="F471" t="s">
        <v>62</v>
      </c>
      <c r="G471" t="s">
        <v>78</v>
      </c>
      <c r="H471" t="s">
        <v>23</v>
      </c>
      <c r="I471" t="s">
        <v>94</v>
      </c>
      <c r="J471" t="s">
        <v>39</v>
      </c>
      <c r="K471" s="6">
        <f t="shared" si="15"/>
        <v>1.5</v>
      </c>
      <c r="L471" t="s">
        <v>49</v>
      </c>
      <c r="M471">
        <f t="shared" si="14"/>
        <v>3</v>
      </c>
      <c r="N471" t="s">
        <v>27</v>
      </c>
      <c r="O471" t="s">
        <v>72</v>
      </c>
      <c r="P471" s="2">
        <v>785</v>
      </c>
      <c r="Q471" t="s">
        <v>74</v>
      </c>
      <c r="R471" t="s">
        <v>75</v>
      </c>
      <c r="S471" t="s">
        <v>50</v>
      </c>
      <c r="T471" t="s">
        <v>59</v>
      </c>
    </row>
    <row r="472" spans="1:20" x14ac:dyDescent="0.25">
      <c r="A472" s="2">
        <v>471</v>
      </c>
      <c r="B472" s="2">
        <v>79343</v>
      </c>
      <c r="C472" t="s">
        <v>60</v>
      </c>
      <c r="D472" t="s">
        <v>52</v>
      </c>
      <c r="E472" t="s">
        <v>20</v>
      </c>
      <c r="F472" t="s">
        <v>21</v>
      </c>
      <c r="G472" t="s">
        <v>81</v>
      </c>
      <c r="H472" t="s">
        <v>23</v>
      </c>
      <c r="I472" t="s">
        <v>24</v>
      </c>
      <c r="J472" t="s">
        <v>57</v>
      </c>
      <c r="K472" s="6">
        <f t="shared" si="15"/>
        <v>2.4</v>
      </c>
      <c r="L472" t="s">
        <v>64</v>
      </c>
      <c r="M472">
        <f t="shared" si="14"/>
        <v>7</v>
      </c>
      <c r="N472" t="s">
        <v>27</v>
      </c>
      <c r="O472" t="s">
        <v>103</v>
      </c>
      <c r="P472" s="2">
        <v>743</v>
      </c>
      <c r="Q472" t="s">
        <v>104</v>
      </c>
      <c r="R472" t="s">
        <v>30</v>
      </c>
      <c r="S472" t="s">
        <v>31</v>
      </c>
      <c r="T472" t="s">
        <v>32</v>
      </c>
    </row>
    <row r="473" spans="1:20" x14ac:dyDescent="0.25">
      <c r="A473" s="2">
        <v>472</v>
      </c>
      <c r="B473" s="2">
        <v>62398</v>
      </c>
      <c r="C473" t="s">
        <v>51</v>
      </c>
      <c r="D473" t="s">
        <v>52</v>
      </c>
      <c r="E473" t="s">
        <v>93</v>
      </c>
      <c r="F473" t="s">
        <v>62</v>
      </c>
      <c r="G473" t="s">
        <v>78</v>
      </c>
      <c r="H473" t="s">
        <v>73</v>
      </c>
      <c r="I473" t="s">
        <v>56</v>
      </c>
      <c r="J473" t="s">
        <v>25</v>
      </c>
      <c r="K473" s="6">
        <f t="shared" si="15"/>
        <v>2.2000000000000002</v>
      </c>
      <c r="L473" t="s">
        <v>64</v>
      </c>
      <c r="M473">
        <f t="shared" si="14"/>
        <v>7</v>
      </c>
      <c r="N473" t="s">
        <v>40</v>
      </c>
      <c r="O473" t="s">
        <v>103</v>
      </c>
      <c r="P473" s="2">
        <v>1133</v>
      </c>
      <c r="Q473" t="s">
        <v>74</v>
      </c>
      <c r="R473" t="s">
        <v>75</v>
      </c>
      <c r="S473" t="s">
        <v>58</v>
      </c>
      <c r="T473" t="s">
        <v>43</v>
      </c>
    </row>
    <row r="474" spans="1:20" x14ac:dyDescent="0.25">
      <c r="A474" s="2">
        <v>473</v>
      </c>
      <c r="B474" s="2">
        <v>58239</v>
      </c>
      <c r="C474" t="s">
        <v>33</v>
      </c>
      <c r="D474" t="s">
        <v>52</v>
      </c>
      <c r="E474" t="s">
        <v>84</v>
      </c>
      <c r="F474" t="s">
        <v>85</v>
      </c>
      <c r="G474" t="s">
        <v>81</v>
      </c>
      <c r="H474" t="s">
        <v>23</v>
      </c>
      <c r="I474" t="s">
        <v>94</v>
      </c>
      <c r="J474" t="s">
        <v>57</v>
      </c>
      <c r="K474" s="6">
        <f t="shared" si="15"/>
        <v>0.375</v>
      </c>
      <c r="L474" t="s">
        <v>26</v>
      </c>
      <c r="M474">
        <f t="shared" si="14"/>
        <v>1</v>
      </c>
      <c r="N474" t="s">
        <v>27</v>
      </c>
      <c r="O474" t="s">
        <v>28</v>
      </c>
      <c r="P474" s="2">
        <v>768</v>
      </c>
      <c r="Q474" t="s">
        <v>41</v>
      </c>
      <c r="R474" t="s">
        <v>68</v>
      </c>
      <c r="S474" t="s">
        <v>69</v>
      </c>
      <c r="T474" t="s">
        <v>32</v>
      </c>
    </row>
    <row r="475" spans="1:20" x14ac:dyDescent="0.25">
      <c r="A475" s="2">
        <v>474</v>
      </c>
      <c r="B475" s="2">
        <v>55381</v>
      </c>
      <c r="C475" t="s">
        <v>96</v>
      </c>
      <c r="D475" t="s">
        <v>66</v>
      </c>
      <c r="E475" t="s">
        <v>101</v>
      </c>
      <c r="F475" t="s">
        <v>80</v>
      </c>
      <c r="G475" t="s">
        <v>36</v>
      </c>
      <c r="H475" t="s">
        <v>37</v>
      </c>
      <c r="I475" t="s">
        <v>67</v>
      </c>
      <c r="J475" t="s">
        <v>48</v>
      </c>
      <c r="K475" s="6">
        <f t="shared" si="15"/>
        <v>2.2000000000000002</v>
      </c>
      <c r="L475" t="s">
        <v>64</v>
      </c>
      <c r="M475">
        <f t="shared" si="14"/>
        <v>7</v>
      </c>
      <c r="N475" t="s">
        <v>27</v>
      </c>
      <c r="O475" t="s">
        <v>103</v>
      </c>
      <c r="P475" s="2">
        <v>2646</v>
      </c>
      <c r="Q475" t="s">
        <v>104</v>
      </c>
      <c r="R475" t="s">
        <v>30</v>
      </c>
      <c r="S475" t="s">
        <v>50</v>
      </c>
      <c r="T475" t="s">
        <v>32</v>
      </c>
    </row>
    <row r="476" spans="1:20" x14ac:dyDescent="0.25">
      <c r="A476" s="2">
        <v>475</v>
      </c>
      <c r="B476" s="2">
        <v>81964</v>
      </c>
      <c r="C476" t="s">
        <v>19</v>
      </c>
      <c r="D476" t="s">
        <v>52</v>
      </c>
      <c r="E476" t="s">
        <v>97</v>
      </c>
      <c r="F476" t="s">
        <v>62</v>
      </c>
      <c r="G476" t="s">
        <v>78</v>
      </c>
      <c r="H476" t="s">
        <v>23</v>
      </c>
      <c r="I476" t="s">
        <v>47</v>
      </c>
      <c r="J476" t="s">
        <v>25</v>
      </c>
      <c r="K476" s="6">
        <f t="shared" si="15"/>
        <v>1.25</v>
      </c>
      <c r="L476" t="s">
        <v>26</v>
      </c>
      <c r="M476">
        <f t="shared" si="14"/>
        <v>1</v>
      </c>
      <c r="N476" t="s">
        <v>27</v>
      </c>
      <c r="O476" t="s">
        <v>65</v>
      </c>
      <c r="P476" s="2">
        <v>553</v>
      </c>
      <c r="Q476" t="s">
        <v>104</v>
      </c>
      <c r="R476" t="s">
        <v>42</v>
      </c>
      <c r="S476" t="s">
        <v>31</v>
      </c>
      <c r="T476" t="s">
        <v>59</v>
      </c>
    </row>
    <row r="477" spans="1:20" x14ac:dyDescent="0.25">
      <c r="A477" s="2">
        <v>476</v>
      </c>
      <c r="B477" s="2">
        <v>38518</v>
      </c>
      <c r="C477" t="s">
        <v>33</v>
      </c>
      <c r="D477" t="s">
        <v>66</v>
      </c>
      <c r="E477" t="s">
        <v>61</v>
      </c>
      <c r="F477" t="s">
        <v>62</v>
      </c>
      <c r="G477" t="s">
        <v>81</v>
      </c>
      <c r="H477" t="s">
        <v>23</v>
      </c>
      <c r="I477" t="s">
        <v>91</v>
      </c>
      <c r="J477" t="s">
        <v>57</v>
      </c>
      <c r="K477" s="6">
        <f t="shared" si="15"/>
        <v>2.2000000000000002</v>
      </c>
      <c r="L477" t="s">
        <v>64</v>
      </c>
      <c r="M477">
        <f t="shared" si="14"/>
        <v>7</v>
      </c>
      <c r="N477" t="s">
        <v>27</v>
      </c>
      <c r="O477" t="s">
        <v>65</v>
      </c>
      <c r="P477" s="2">
        <v>628</v>
      </c>
      <c r="Q477" t="s">
        <v>74</v>
      </c>
      <c r="R477" t="s">
        <v>75</v>
      </c>
      <c r="S477" t="s">
        <v>31</v>
      </c>
      <c r="T477" t="s">
        <v>59</v>
      </c>
    </row>
    <row r="478" spans="1:20" x14ac:dyDescent="0.25">
      <c r="A478" s="2">
        <v>477</v>
      </c>
      <c r="B478" s="2">
        <v>97946</v>
      </c>
      <c r="C478" t="s">
        <v>19</v>
      </c>
      <c r="D478" t="s">
        <v>52</v>
      </c>
      <c r="E478" t="s">
        <v>101</v>
      </c>
      <c r="F478" t="s">
        <v>80</v>
      </c>
      <c r="G478" t="s">
        <v>98</v>
      </c>
      <c r="H478" t="s">
        <v>73</v>
      </c>
      <c r="I478" t="s">
        <v>24</v>
      </c>
      <c r="J478" t="s">
        <v>25</v>
      </c>
      <c r="K478" s="6">
        <f t="shared" si="15"/>
        <v>1.2</v>
      </c>
      <c r="L478" t="s">
        <v>26</v>
      </c>
      <c r="M478">
        <f t="shared" si="14"/>
        <v>1</v>
      </c>
      <c r="N478" t="s">
        <v>27</v>
      </c>
      <c r="O478" t="s">
        <v>72</v>
      </c>
      <c r="P478" s="2">
        <v>1150</v>
      </c>
      <c r="Q478" t="s">
        <v>74</v>
      </c>
      <c r="R478" t="s">
        <v>42</v>
      </c>
      <c r="S478" t="s">
        <v>50</v>
      </c>
      <c r="T478" t="s">
        <v>32</v>
      </c>
    </row>
    <row r="479" spans="1:20" x14ac:dyDescent="0.25">
      <c r="A479" s="2">
        <v>478</v>
      </c>
      <c r="B479" s="2">
        <v>15378</v>
      </c>
      <c r="C479" t="s">
        <v>60</v>
      </c>
      <c r="D479" t="s">
        <v>52</v>
      </c>
      <c r="E479" t="s">
        <v>53</v>
      </c>
      <c r="F479" t="s">
        <v>54</v>
      </c>
      <c r="G479" t="s">
        <v>70</v>
      </c>
      <c r="H479" t="s">
        <v>46</v>
      </c>
      <c r="I479" t="s">
        <v>67</v>
      </c>
      <c r="J479" t="s">
        <v>48</v>
      </c>
      <c r="K479" s="6">
        <f t="shared" si="15"/>
        <v>0.55000000000000004</v>
      </c>
      <c r="L479" t="s">
        <v>64</v>
      </c>
      <c r="M479">
        <f t="shared" si="14"/>
        <v>7</v>
      </c>
      <c r="N479" t="s">
        <v>40</v>
      </c>
      <c r="O479" t="s">
        <v>102</v>
      </c>
      <c r="P479" s="2">
        <v>271</v>
      </c>
      <c r="Q479" t="s">
        <v>74</v>
      </c>
      <c r="R479" t="s">
        <v>68</v>
      </c>
      <c r="S479" t="s">
        <v>50</v>
      </c>
      <c r="T479" t="s">
        <v>59</v>
      </c>
    </row>
    <row r="480" spans="1:20" x14ac:dyDescent="0.25">
      <c r="A480" s="2">
        <v>479</v>
      </c>
      <c r="B480" s="2">
        <v>30686</v>
      </c>
      <c r="C480" t="s">
        <v>60</v>
      </c>
      <c r="D480" t="s">
        <v>52</v>
      </c>
      <c r="E480" t="s">
        <v>87</v>
      </c>
      <c r="F480" t="s">
        <v>88</v>
      </c>
      <c r="G480" t="s">
        <v>45</v>
      </c>
      <c r="H480" t="s">
        <v>23</v>
      </c>
      <c r="I480" t="s">
        <v>24</v>
      </c>
      <c r="J480" t="s">
        <v>25</v>
      </c>
      <c r="K480" s="6">
        <f t="shared" si="15"/>
        <v>2.4</v>
      </c>
      <c r="L480" t="s">
        <v>64</v>
      </c>
      <c r="M480">
        <f t="shared" si="14"/>
        <v>7</v>
      </c>
      <c r="N480" t="s">
        <v>27</v>
      </c>
      <c r="O480" t="s">
        <v>103</v>
      </c>
      <c r="P480" s="2">
        <v>755</v>
      </c>
      <c r="Q480" t="s">
        <v>104</v>
      </c>
      <c r="R480" t="s">
        <v>75</v>
      </c>
      <c r="S480" t="s">
        <v>50</v>
      </c>
      <c r="T480" t="s">
        <v>59</v>
      </c>
    </row>
    <row r="481" spans="1:20" x14ac:dyDescent="0.25">
      <c r="A481" s="2">
        <v>480</v>
      </c>
      <c r="B481" s="2">
        <v>46232</v>
      </c>
      <c r="C481" t="s">
        <v>19</v>
      </c>
      <c r="D481" t="s">
        <v>52</v>
      </c>
      <c r="E481" t="s">
        <v>97</v>
      </c>
      <c r="F481" t="s">
        <v>62</v>
      </c>
      <c r="G481" t="s">
        <v>70</v>
      </c>
      <c r="H481" t="s">
        <v>23</v>
      </c>
      <c r="I481" t="s">
        <v>91</v>
      </c>
      <c r="J481" t="s">
        <v>57</v>
      </c>
      <c r="K481" s="6">
        <f t="shared" si="15"/>
        <v>2.2000000000000002</v>
      </c>
      <c r="L481" t="s">
        <v>64</v>
      </c>
      <c r="M481">
        <f t="shared" si="14"/>
        <v>7</v>
      </c>
      <c r="N481" t="s">
        <v>27</v>
      </c>
      <c r="O481" t="s">
        <v>72</v>
      </c>
      <c r="P481" s="2">
        <v>495</v>
      </c>
      <c r="Q481" t="s">
        <v>104</v>
      </c>
      <c r="R481" t="s">
        <v>75</v>
      </c>
      <c r="S481" t="s">
        <v>50</v>
      </c>
      <c r="T481" t="s">
        <v>59</v>
      </c>
    </row>
    <row r="482" spans="1:20" x14ac:dyDescent="0.25">
      <c r="A482" s="2">
        <v>481</v>
      </c>
      <c r="B482" s="2">
        <v>92113</v>
      </c>
      <c r="C482" t="s">
        <v>51</v>
      </c>
      <c r="D482" t="s">
        <v>66</v>
      </c>
      <c r="E482" t="s">
        <v>34</v>
      </c>
      <c r="F482" t="s">
        <v>35</v>
      </c>
      <c r="G482" t="s">
        <v>92</v>
      </c>
      <c r="H482" t="s">
        <v>37</v>
      </c>
      <c r="I482" t="s">
        <v>47</v>
      </c>
      <c r="J482" t="s">
        <v>57</v>
      </c>
      <c r="K482" s="6">
        <f t="shared" si="15"/>
        <v>2.5</v>
      </c>
      <c r="L482" t="s">
        <v>49</v>
      </c>
      <c r="M482">
        <f t="shared" si="14"/>
        <v>3</v>
      </c>
      <c r="N482" t="s">
        <v>27</v>
      </c>
      <c r="O482" t="s">
        <v>65</v>
      </c>
      <c r="P482" s="2">
        <v>2119</v>
      </c>
      <c r="Q482" t="s">
        <v>74</v>
      </c>
      <c r="R482" t="s">
        <v>75</v>
      </c>
      <c r="S482" t="s">
        <v>31</v>
      </c>
      <c r="T482" t="s">
        <v>43</v>
      </c>
    </row>
    <row r="483" spans="1:20" x14ac:dyDescent="0.25">
      <c r="A483" s="2">
        <v>482</v>
      </c>
      <c r="B483" s="2">
        <v>79643</v>
      </c>
      <c r="C483" t="s">
        <v>19</v>
      </c>
      <c r="D483" t="s">
        <v>52</v>
      </c>
      <c r="E483" t="s">
        <v>89</v>
      </c>
      <c r="F483" t="s">
        <v>90</v>
      </c>
      <c r="G483" t="s">
        <v>78</v>
      </c>
      <c r="H483" t="s">
        <v>37</v>
      </c>
      <c r="I483" t="s">
        <v>91</v>
      </c>
      <c r="J483" t="s">
        <v>57</v>
      </c>
      <c r="K483" s="6">
        <f t="shared" si="15"/>
        <v>2.2000000000000002</v>
      </c>
      <c r="L483" t="s">
        <v>64</v>
      </c>
      <c r="M483">
        <f t="shared" si="14"/>
        <v>7</v>
      </c>
      <c r="N483" t="s">
        <v>40</v>
      </c>
      <c r="O483" t="s">
        <v>82</v>
      </c>
      <c r="P483" s="2">
        <v>2995</v>
      </c>
      <c r="Q483" t="s">
        <v>29</v>
      </c>
      <c r="R483" t="s">
        <v>30</v>
      </c>
      <c r="S483" t="s">
        <v>69</v>
      </c>
      <c r="T483" t="s">
        <v>59</v>
      </c>
    </row>
    <row r="484" spans="1:20" x14ac:dyDescent="0.25">
      <c r="A484" s="2">
        <v>483</v>
      </c>
      <c r="B484" s="2">
        <v>58494</v>
      </c>
      <c r="C484" t="s">
        <v>96</v>
      </c>
      <c r="D484" t="s">
        <v>52</v>
      </c>
      <c r="E484" t="s">
        <v>87</v>
      </c>
      <c r="F484" t="s">
        <v>88</v>
      </c>
      <c r="G484" t="s">
        <v>81</v>
      </c>
      <c r="H484" t="s">
        <v>23</v>
      </c>
      <c r="I484" t="s">
        <v>24</v>
      </c>
      <c r="J484" t="s">
        <v>25</v>
      </c>
      <c r="K484" s="6">
        <f t="shared" si="15"/>
        <v>2.4</v>
      </c>
      <c r="L484" t="s">
        <v>26</v>
      </c>
      <c r="M484">
        <f t="shared" si="14"/>
        <v>1</v>
      </c>
      <c r="N484" t="s">
        <v>40</v>
      </c>
      <c r="O484" t="s">
        <v>103</v>
      </c>
      <c r="P484" s="2">
        <v>690</v>
      </c>
      <c r="Q484" t="s">
        <v>74</v>
      </c>
      <c r="R484" t="s">
        <v>30</v>
      </c>
      <c r="S484" t="s">
        <v>58</v>
      </c>
      <c r="T484" t="s">
        <v>59</v>
      </c>
    </row>
    <row r="485" spans="1:20" x14ac:dyDescent="0.25">
      <c r="A485" s="2">
        <v>484</v>
      </c>
      <c r="B485" s="2">
        <v>81974</v>
      </c>
      <c r="C485" t="s">
        <v>60</v>
      </c>
      <c r="D485" t="s">
        <v>66</v>
      </c>
      <c r="E485" t="s">
        <v>44</v>
      </c>
      <c r="F485" t="s">
        <v>44</v>
      </c>
      <c r="G485" t="s">
        <v>63</v>
      </c>
      <c r="H485" t="s">
        <v>23</v>
      </c>
      <c r="I485" t="s">
        <v>38</v>
      </c>
      <c r="J485" t="s">
        <v>48</v>
      </c>
      <c r="K485" s="6">
        <f t="shared" si="15"/>
        <v>0.5</v>
      </c>
      <c r="L485" t="s">
        <v>64</v>
      </c>
      <c r="M485">
        <f t="shared" si="14"/>
        <v>7</v>
      </c>
      <c r="N485" t="s">
        <v>27</v>
      </c>
      <c r="O485" t="s">
        <v>103</v>
      </c>
      <c r="P485" s="2">
        <v>502</v>
      </c>
      <c r="Q485" t="s">
        <v>74</v>
      </c>
      <c r="R485" t="s">
        <v>68</v>
      </c>
      <c r="S485" t="s">
        <v>69</v>
      </c>
      <c r="T485" t="s">
        <v>43</v>
      </c>
    </row>
    <row r="486" spans="1:20" x14ac:dyDescent="0.25">
      <c r="A486" s="2">
        <v>485</v>
      </c>
      <c r="B486" s="2">
        <v>94472</v>
      </c>
      <c r="C486" t="s">
        <v>33</v>
      </c>
      <c r="D486" t="s">
        <v>66</v>
      </c>
      <c r="E486" t="s">
        <v>101</v>
      </c>
      <c r="F486" t="s">
        <v>80</v>
      </c>
      <c r="G486" t="s">
        <v>45</v>
      </c>
      <c r="H486" t="s">
        <v>46</v>
      </c>
      <c r="I486" t="s">
        <v>47</v>
      </c>
      <c r="J486" t="s">
        <v>48</v>
      </c>
      <c r="K486" s="6">
        <f t="shared" si="15"/>
        <v>2.5</v>
      </c>
      <c r="L486" t="s">
        <v>64</v>
      </c>
      <c r="M486">
        <f t="shared" si="14"/>
        <v>7</v>
      </c>
      <c r="N486" t="s">
        <v>40</v>
      </c>
      <c r="O486" t="s">
        <v>28</v>
      </c>
      <c r="P486" s="2">
        <v>344</v>
      </c>
      <c r="Q486" t="s">
        <v>41</v>
      </c>
      <c r="R486" t="s">
        <v>75</v>
      </c>
      <c r="S486" t="s">
        <v>31</v>
      </c>
      <c r="T486" t="s">
        <v>32</v>
      </c>
    </row>
    <row r="487" spans="1:20" x14ac:dyDescent="0.25">
      <c r="A487" s="2">
        <v>486</v>
      </c>
      <c r="B487" s="2">
        <v>33313</v>
      </c>
      <c r="C487" t="s">
        <v>51</v>
      </c>
      <c r="D487" t="s">
        <v>66</v>
      </c>
      <c r="E487" t="s">
        <v>79</v>
      </c>
      <c r="F487" t="s">
        <v>80</v>
      </c>
      <c r="G487" t="s">
        <v>55</v>
      </c>
      <c r="H487" t="s">
        <v>23</v>
      </c>
      <c r="I487" t="s">
        <v>24</v>
      </c>
      <c r="J487" t="s">
        <v>25</v>
      </c>
      <c r="K487" s="6">
        <f t="shared" si="15"/>
        <v>1.2</v>
      </c>
      <c r="L487" t="s">
        <v>64</v>
      </c>
      <c r="M487">
        <f t="shared" si="14"/>
        <v>7</v>
      </c>
      <c r="N487" t="s">
        <v>104</v>
      </c>
      <c r="O487" t="s">
        <v>28</v>
      </c>
      <c r="P487" s="2">
        <v>519</v>
      </c>
      <c r="Q487" t="s">
        <v>29</v>
      </c>
      <c r="R487" t="s">
        <v>42</v>
      </c>
      <c r="S487" t="s">
        <v>31</v>
      </c>
      <c r="T487" t="s">
        <v>43</v>
      </c>
    </row>
    <row r="488" spans="1:20" x14ac:dyDescent="0.25">
      <c r="A488" s="2">
        <v>487</v>
      </c>
      <c r="B488" s="2">
        <v>64308</v>
      </c>
      <c r="C488" t="s">
        <v>33</v>
      </c>
      <c r="D488" t="s">
        <v>66</v>
      </c>
      <c r="E488" t="s">
        <v>95</v>
      </c>
      <c r="F488" t="s">
        <v>21</v>
      </c>
      <c r="G488" t="s">
        <v>81</v>
      </c>
      <c r="H488" t="s">
        <v>23</v>
      </c>
      <c r="I488" t="s">
        <v>24</v>
      </c>
      <c r="J488" t="s">
        <v>25</v>
      </c>
      <c r="K488" s="6">
        <f t="shared" si="15"/>
        <v>2.4</v>
      </c>
      <c r="L488" t="s">
        <v>64</v>
      </c>
      <c r="M488">
        <f t="shared" si="14"/>
        <v>7</v>
      </c>
      <c r="N488" t="s">
        <v>104</v>
      </c>
      <c r="O488" t="s">
        <v>103</v>
      </c>
      <c r="P488" s="2">
        <v>729</v>
      </c>
      <c r="Q488" t="s">
        <v>29</v>
      </c>
      <c r="R488" t="s">
        <v>75</v>
      </c>
      <c r="S488" t="s">
        <v>31</v>
      </c>
      <c r="T488" t="s">
        <v>43</v>
      </c>
    </row>
    <row r="489" spans="1:20" x14ac:dyDescent="0.25">
      <c r="A489" s="2">
        <v>488</v>
      </c>
      <c r="B489" s="2">
        <v>29257</v>
      </c>
      <c r="C489" t="s">
        <v>51</v>
      </c>
      <c r="D489" t="s">
        <v>66</v>
      </c>
      <c r="E489" t="s">
        <v>101</v>
      </c>
      <c r="F489" t="s">
        <v>80</v>
      </c>
      <c r="G489" t="s">
        <v>81</v>
      </c>
      <c r="H489" t="s">
        <v>46</v>
      </c>
      <c r="I489" t="s">
        <v>24</v>
      </c>
      <c r="J489" t="s">
        <v>25</v>
      </c>
      <c r="K489" s="6">
        <f t="shared" si="15"/>
        <v>2.4</v>
      </c>
      <c r="L489" t="s">
        <v>64</v>
      </c>
      <c r="M489">
        <f t="shared" si="14"/>
        <v>7</v>
      </c>
      <c r="N489" t="s">
        <v>27</v>
      </c>
      <c r="O489" t="s">
        <v>103</v>
      </c>
      <c r="P489" s="2">
        <v>377</v>
      </c>
      <c r="Q489" t="s">
        <v>104</v>
      </c>
      <c r="R489" t="s">
        <v>75</v>
      </c>
      <c r="S489" t="s">
        <v>58</v>
      </c>
      <c r="T489" t="s">
        <v>32</v>
      </c>
    </row>
    <row r="490" spans="1:20" x14ac:dyDescent="0.25">
      <c r="A490" s="2">
        <v>489</v>
      </c>
      <c r="B490" s="2">
        <v>15495</v>
      </c>
      <c r="C490" t="s">
        <v>51</v>
      </c>
      <c r="D490" t="s">
        <v>52</v>
      </c>
      <c r="E490" t="s">
        <v>89</v>
      </c>
      <c r="F490" t="s">
        <v>90</v>
      </c>
      <c r="G490" t="s">
        <v>92</v>
      </c>
      <c r="H490" t="s">
        <v>71</v>
      </c>
      <c r="I490" t="s">
        <v>38</v>
      </c>
      <c r="J490" t="s">
        <v>57</v>
      </c>
      <c r="K490" s="6">
        <f t="shared" si="15"/>
        <v>1</v>
      </c>
      <c r="L490" t="s">
        <v>64</v>
      </c>
      <c r="M490">
        <f t="shared" si="14"/>
        <v>7</v>
      </c>
      <c r="N490" t="s">
        <v>27</v>
      </c>
      <c r="O490" t="s">
        <v>103</v>
      </c>
      <c r="P490" s="2">
        <v>168</v>
      </c>
      <c r="Q490" t="s">
        <v>104</v>
      </c>
      <c r="R490" t="s">
        <v>42</v>
      </c>
      <c r="S490" t="s">
        <v>69</v>
      </c>
      <c r="T490" t="s">
        <v>59</v>
      </c>
    </row>
    <row r="491" spans="1:20" x14ac:dyDescent="0.25">
      <c r="A491" s="2">
        <v>490</v>
      </c>
      <c r="B491" s="2">
        <v>95944</v>
      </c>
      <c r="C491" t="s">
        <v>96</v>
      </c>
      <c r="D491" t="s">
        <v>66</v>
      </c>
      <c r="E491" t="s">
        <v>34</v>
      </c>
      <c r="F491" t="s">
        <v>35</v>
      </c>
      <c r="G491" t="s">
        <v>81</v>
      </c>
      <c r="H491" t="s">
        <v>73</v>
      </c>
      <c r="I491" t="s">
        <v>91</v>
      </c>
      <c r="J491" t="s">
        <v>86</v>
      </c>
      <c r="K491" s="6">
        <f t="shared" si="15"/>
        <v>2.2000000000000002</v>
      </c>
      <c r="L491" t="s">
        <v>49</v>
      </c>
      <c r="M491">
        <f t="shared" si="14"/>
        <v>3</v>
      </c>
      <c r="N491" t="s">
        <v>27</v>
      </c>
      <c r="O491" t="s">
        <v>72</v>
      </c>
      <c r="P491" s="2">
        <v>1270</v>
      </c>
      <c r="Q491" t="s">
        <v>41</v>
      </c>
      <c r="R491" t="s">
        <v>30</v>
      </c>
      <c r="S491" t="s">
        <v>58</v>
      </c>
      <c r="T491" t="s">
        <v>43</v>
      </c>
    </row>
    <row r="492" spans="1:20" x14ac:dyDescent="0.25">
      <c r="A492" s="2">
        <v>491</v>
      </c>
      <c r="B492" s="2">
        <v>23361</v>
      </c>
      <c r="C492" t="s">
        <v>96</v>
      </c>
      <c r="D492" t="s">
        <v>52</v>
      </c>
      <c r="E492" t="s">
        <v>99</v>
      </c>
      <c r="F492" t="s">
        <v>100</v>
      </c>
      <c r="G492" t="s">
        <v>70</v>
      </c>
      <c r="H492" t="s">
        <v>46</v>
      </c>
      <c r="I492" t="s">
        <v>94</v>
      </c>
      <c r="J492" t="s">
        <v>57</v>
      </c>
      <c r="K492" s="6">
        <f t="shared" si="15"/>
        <v>0.375</v>
      </c>
      <c r="L492" t="s">
        <v>64</v>
      </c>
      <c r="M492">
        <f t="shared" si="14"/>
        <v>7</v>
      </c>
      <c r="N492" t="s">
        <v>40</v>
      </c>
      <c r="O492" t="s">
        <v>103</v>
      </c>
      <c r="P492" s="2">
        <v>440</v>
      </c>
      <c r="Q492" t="s">
        <v>104</v>
      </c>
      <c r="R492" t="s">
        <v>68</v>
      </c>
      <c r="S492" t="s">
        <v>31</v>
      </c>
      <c r="T492" t="s">
        <v>32</v>
      </c>
    </row>
    <row r="493" spans="1:20" x14ac:dyDescent="0.25">
      <c r="A493" s="2">
        <v>492</v>
      </c>
      <c r="B493" s="2">
        <v>29686</v>
      </c>
      <c r="C493" t="s">
        <v>51</v>
      </c>
      <c r="D493" t="s">
        <v>66</v>
      </c>
      <c r="E493" t="s">
        <v>89</v>
      </c>
      <c r="F493" t="s">
        <v>90</v>
      </c>
      <c r="G493" t="s">
        <v>70</v>
      </c>
      <c r="H493" t="s">
        <v>73</v>
      </c>
      <c r="I493" t="s">
        <v>56</v>
      </c>
      <c r="J493" t="s">
        <v>57</v>
      </c>
      <c r="K493" s="6">
        <f t="shared" si="15"/>
        <v>2.2000000000000002</v>
      </c>
      <c r="L493" t="s">
        <v>49</v>
      </c>
      <c r="M493">
        <f t="shared" si="14"/>
        <v>3</v>
      </c>
      <c r="N493" t="s">
        <v>104</v>
      </c>
      <c r="O493" t="s">
        <v>103</v>
      </c>
      <c r="P493" s="2">
        <v>1392</v>
      </c>
      <c r="Q493" t="s">
        <v>74</v>
      </c>
      <c r="R493" t="s">
        <v>30</v>
      </c>
      <c r="S493" t="s">
        <v>50</v>
      </c>
      <c r="T493" t="s">
        <v>59</v>
      </c>
    </row>
    <row r="494" spans="1:20" x14ac:dyDescent="0.25">
      <c r="A494" s="2">
        <v>493</v>
      </c>
      <c r="B494" s="2">
        <v>63250</v>
      </c>
      <c r="C494" t="s">
        <v>33</v>
      </c>
      <c r="D494" t="s">
        <v>52</v>
      </c>
      <c r="E494" t="s">
        <v>89</v>
      </c>
      <c r="F494" t="s">
        <v>90</v>
      </c>
      <c r="G494" t="s">
        <v>81</v>
      </c>
      <c r="H494" t="s">
        <v>73</v>
      </c>
      <c r="I494" t="s">
        <v>47</v>
      </c>
      <c r="J494" t="s">
        <v>48</v>
      </c>
      <c r="K494" s="6">
        <f t="shared" si="15"/>
        <v>2.5</v>
      </c>
      <c r="L494" t="s">
        <v>49</v>
      </c>
      <c r="M494">
        <f t="shared" si="14"/>
        <v>3</v>
      </c>
      <c r="N494" t="s">
        <v>40</v>
      </c>
      <c r="O494" t="s">
        <v>82</v>
      </c>
      <c r="P494" s="2">
        <v>1033</v>
      </c>
      <c r="Q494" t="s">
        <v>104</v>
      </c>
      <c r="R494" t="s">
        <v>75</v>
      </c>
      <c r="S494" t="s">
        <v>50</v>
      </c>
      <c r="T494" t="s">
        <v>59</v>
      </c>
    </row>
    <row r="495" spans="1:20" x14ac:dyDescent="0.25">
      <c r="A495" s="2">
        <v>494</v>
      </c>
      <c r="B495" s="2">
        <v>86072</v>
      </c>
      <c r="C495" t="s">
        <v>19</v>
      </c>
      <c r="D495" t="s">
        <v>52</v>
      </c>
      <c r="E495" t="s">
        <v>93</v>
      </c>
      <c r="F495" t="s">
        <v>62</v>
      </c>
      <c r="G495" t="s">
        <v>36</v>
      </c>
      <c r="H495" t="s">
        <v>73</v>
      </c>
      <c r="I495" t="s">
        <v>24</v>
      </c>
      <c r="J495" t="s">
        <v>57</v>
      </c>
      <c r="K495" s="6">
        <f t="shared" si="15"/>
        <v>0.6</v>
      </c>
      <c r="L495" t="s">
        <v>49</v>
      </c>
      <c r="M495">
        <f t="shared" si="14"/>
        <v>3</v>
      </c>
      <c r="N495" t="s">
        <v>40</v>
      </c>
      <c r="O495" t="s">
        <v>65</v>
      </c>
      <c r="P495" s="2">
        <v>1336</v>
      </c>
      <c r="Q495" t="s">
        <v>29</v>
      </c>
      <c r="R495" t="s">
        <v>68</v>
      </c>
      <c r="S495" t="s">
        <v>50</v>
      </c>
      <c r="T495" t="s">
        <v>43</v>
      </c>
    </row>
    <row r="496" spans="1:20" x14ac:dyDescent="0.25">
      <c r="A496" s="2">
        <v>495</v>
      </c>
      <c r="B496" s="2">
        <v>74767</v>
      </c>
      <c r="C496" t="s">
        <v>33</v>
      </c>
      <c r="D496" t="s">
        <v>52</v>
      </c>
      <c r="E496" t="s">
        <v>101</v>
      </c>
      <c r="F496" t="s">
        <v>80</v>
      </c>
      <c r="G496" t="s">
        <v>78</v>
      </c>
      <c r="H496" t="s">
        <v>73</v>
      </c>
      <c r="I496" t="s">
        <v>24</v>
      </c>
      <c r="J496" t="s">
        <v>39</v>
      </c>
      <c r="K496" s="6">
        <f t="shared" si="15"/>
        <v>1.2</v>
      </c>
      <c r="L496" t="s">
        <v>64</v>
      </c>
      <c r="M496">
        <f t="shared" si="14"/>
        <v>7</v>
      </c>
      <c r="N496" t="s">
        <v>40</v>
      </c>
      <c r="O496" t="s">
        <v>102</v>
      </c>
      <c r="P496" s="2">
        <v>859</v>
      </c>
      <c r="Q496" t="s">
        <v>41</v>
      </c>
      <c r="R496" t="s">
        <v>42</v>
      </c>
      <c r="S496" t="s">
        <v>50</v>
      </c>
      <c r="T496" t="s">
        <v>32</v>
      </c>
    </row>
    <row r="497" spans="1:20" x14ac:dyDescent="0.25">
      <c r="A497" s="2">
        <v>496</v>
      </c>
      <c r="B497" s="2">
        <v>69198</v>
      </c>
      <c r="C497" t="s">
        <v>96</v>
      </c>
      <c r="D497" t="s">
        <v>66</v>
      </c>
      <c r="E497" t="s">
        <v>97</v>
      </c>
      <c r="F497" t="s">
        <v>62</v>
      </c>
      <c r="G497" t="s">
        <v>55</v>
      </c>
      <c r="H497" t="s">
        <v>73</v>
      </c>
      <c r="I497" t="s">
        <v>94</v>
      </c>
      <c r="J497" t="s">
        <v>57</v>
      </c>
      <c r="K497" s="6">
        <f t="shared" si="15"/>
        <v>0.75</v>
      </c>
      <c r="L497" t="s">
        <v>49</v>
      </c>
      <c r="M497">
        <f t="shared" si="14"/>
        <v>3</v>
      </c>
      <c r="N497" t="s">
        <v>27</v>
      </c>
      <c r="O497" t="s">
        <v>72</v>
      </c>
      <c r="P497" s="2">
        <v>1126</v>
      </c>
      <c r="Q497" t="s">
        <v>104</v>
      </c>
      <c r="R497" t="s">
        <v>42</v>
      </c>
      <c r="S497" t="s">
        <v>69</v>
      </c>
      <c r="T497" t="s">
        <v>59</v>
      </c>
    </row>
    <row r="498" spans="1:20" x14ac:dyDescent="0.25">
      <c r="A498" s="2">
        <v>497</v>
      </c>
      <c r="B498" s="2">
        <v>89918</v>
      </c>
      <c r="C498" t="s">
        <v>51</v>
      </c>
      <c r="D498" t="s">
        <v>52</v>
      </c>
      <c r="E498" t="s">
        <v>34</v>
      </c>
      <c r="F498" t="s">
        <v>35</v>
      </c>
      <c r="G498" t="s">
        <v>63</v>
      </c>
      <c r="H498" t="s">
        <v>73</v>
      </c>
      <c r="I498" t="s">
        <v>67</v>
      </c>
      <c r="J498" t="s">
        <v>25</v>
      </c>
      <c r="K498" s="6">
        <f t="shared" si="15"/>
        <v>0.55000000000000004</v>
      </c>
      <c r="L498" t="s">
        <v>64</v>
      </c>
      <c r="M498">
        <f t="shared" si="14"/>
        <v>7</v>
      </c>
      <c r="N498" t="s">
        <v>40</v>
      </c>
      <c r="O498" t="s">
        <v>103</v>
      </c>
      <c r="P498" s="2">
        <v>1289</v>
      </c>
      <c r="Q498" t="s">
        <v>74</v>
      </c>
      <c r="R498" t="s">
        <v>68</v>
      </c>
      <c r="S498" t="s">
        <v>31</v>
      </c>
      <c r="T498" t="s">
        <v>43</v>
      </c>
    </row>
    <row r="499" spans="1:20" x14ac:dyDescent="0.25">
      <c r="A499" s="2">
        <v>498</v>
      </c>
      <c r="B499" s="2">
        <v>85502</v>
      </c>
      <c r="C499" t="s">
        <v>33</v>
      </c>
      <c r="D499" t="s">
        <v>52</v>
      </c>
      <c r="E499" t="s">
        <v>97</v>
      </c>
      <c r="F499" t="s">
        <v>62</v>
      </c>
      <c r="G499" t="s">
        <v>36</v>
      </c>
      <c r="H499" t="s">
        <v>46</v>
      </c>
      <c r="I499" t="s">
        <v>47</v>
      </c>
      <c r="J499" t="s">
        <v>57</v>
      </c>
      <c r="K499" s="6">
        <f t="shared" si="15"/>
        <v>2.5</v>
      </c>
      <c r="L499" t="s">
        <v>64</v>
      </c>
      <c r="M499">
        <f t="shared" si="14"/>
        <v>7</v>
      </c>
      <c r="N499" t="s">
        <v>104</v>
      </c>
      <c r="O499" t="s">
        <v>65</v>
      </c>
      <c r="P499" s="2">
        <v>262</v>
      </c>
      <c r="Q499" t="s">
        <v>41</v>
      </c>
      <c r="R499" t="s">
        <v>75</v>
      </c>
      <c r="S499" t="s">
        <v>31</v>
      </c>
      <c r="T499" t="s">
        <v>59</v>
      </c>
    </row>
    <row r="500" spans="1:20" x14ac:dyDescent="0.25">
      <c r="A500" s="2">
        <v>499</v>
      </c>
      <c r="B500" s="2">
        <v>98443</v>
      </c>
      <c r="C500" t="s">
        <v>19</v>
      </c>
      <c r="D500" t="s">
        <v>52</v>
      </c>
      <c r="E500" t="s">
        <v>76</v>
      </c>
      <c r="F500" t="s">
        <v>77</v>
      </c>
      <c r="G500" t="s">
        <v>45</v>
      </c>
      <c r="H500" t="s">
        <v>73</v>
      </c>
      <c r="I500" t="s">
        <v>94</v>
      </c>
      <c r="J500" t="s">
        <v>57</v>
      </c>
      <c r="K500" s="6">
        <f t="shared" si="15"/>
        <v>1.5</v>
      </c>
      <c r="L500" t="s">
        <v>64</v>
      </c>
      <c r="M500">
        <f t="shared" si="14"/>
        <v>7</v>
      </c>
      <c r="N500" t="s">
        <v>40</v>
      </c>
      <c r="O500" t="s">
        <v>28</v>
      </c>
      <c r="P500" s="2">
        <v>814</v>
      </c>
      <c r="Q500" t="s">
        <v>41</v>
      </c>
      <c r="R500" t="s">
        <v>30</v>
      </c>
      <c r="S500" t="s">
        <v>58</v>
      </c>
      <c r="T500" t="s">
        <v>43</v>
      </c>
    </row>
    <row r="501" spans="1:20" x14ac:dyDescent="0.25">
      <c r="A501" s="2">
        <v>500</v>
      </c>
      <c r="B501" s="2">
        <v>99193</v>
      </c>
      <c r="C501" t="s">
        <v>33</v>
      </c>
      <c r="D501" t="s">
        <v>66</v>
      </c>
      <c r="E501" t="s">
        <v>97</v>
      </c>
      <c r="F501" t="s">
        <v>62</v>
      </c>
      <c r="G501" t="s">
        <v>78</v>
      </c>
      <c r="H501" t="s">
        <v>46</v>
      </c>
      <c r="I501" t="s">
        <v>24</v>
      </c>
      <c r="J501" t="s">
        <v>25</v>
      </c>
      <c r="K501" s="6">
        <f t="shared" si="15"/>
        <v>2.4</v>
      </c>
      <c r="L501" t="s">
        <v>64</v>
      </c>
      <c r="M501">
        <f t="shared" si="14"/>
        <v>7</v>
      </c>
      <c r="N501" t="s">
        <v>27</v>
      </c>
      <c r="O501" t="s">
        <v>65</v>
      </c>
      <c r="P501" s="2">
        <v>394</v>
      </c>
      <c r="Q501" t="s">
        <v>41</v>
      </c>
      <c r="R501" t="s">
        <v>75</v>
      </c>
      <c r="S501" t="s">
        <v>69</v>
      </c>
      <c r="T501" t="s">
        <v>59</v>
      </c>
    </row>
    <row r="502" spans="1:20" x14ac:dyDescent="0.25">
      <c r="A502" s="2">
        <v>501</v>
      </c>
      <c r="B502" s="2">
        <v>18799</v>
      </c>
      <c r="C502" t="s">
        <v>33</v>
      </c>
      <c r="D502" t="s">
        <v>66</v>
      </c>
      <c r="E502" t="s">
        <v>84</v>
      </c>
      <c r="F502" t="s">
        <v>85</v>
      </c>
      <c r="G502" t="s">
        <v>36</v>
      </c>
      <c r="H502" t="s">
        <v>46</v>
      </c>
      <c r="I502" t="s">
        <v>83</v>
      </c>
      <c r="J502" t="s">
        <v>25</v>
      </c>
      <c r="K502" s="6">
        <f t="shared" si="15"/>
        <v>2.2000000000000002</v>
      </c>
      <c r="L502" t="s">
        <v>64</v>
      </c>
      <c r="M502">
        <f t="shared" si="14"/>
        <v>7</v>
      </c>
      <c r="N502" t="s">
        <v>40</v>
      </c>
      <c r="O502" t="s">
        <v>28</v>
      </c>
      <c r="P502" s="2">
        <v>464</v>
      </c>
      <c r="Q502" t="s">
        <v>41</v>
      </c>
      <c r="R502" t="s">
        <v>75</v>
      </c>
      <c r="S502" t="s">
        <v>31</v>
      </c>
      <c r="T502" t="s">
        <v>32</v>
      </c>
    </row>
    <row r="503" spans="1:20" x14ac:dyDescent="0.25">
      <c r="A503" s="2">
        <v>502</v>
      </c>
      <c r="B503" s="2">
        <v>49040</v>
      </c>
      <c r="C503" t="s">
        <v>51</v>
      </c>
      <c r="D503" t="s">
        <v>66</v>
      </c>
      <c r="E503" t="s">
        <v>44</v>
      </c>
      <c r="F503" t="s">
        <v>44</v>
      </c>
      <c r="G503" t="s">
        <v>45</v>
      </c>
      <c r="H503" t="s">
        <v>46</v>
      </c>
      <c r="I503" t="s">
        <v>24</v>
      </c>
      <c r="J503" t="s">
        <v>57</v>
      </c>
      <c r="K503" s="6">
        <f t="shared" si="15"/>
        <v>2.4</v>
      </c>
      <c r="L503" t="s">
        <v>64</v>
      </c>
      <c r="M503">
        <f t="shared" si="14"/>
        <v>7</v>
      </c>
      <c r="N503" t="s">
        <v>27</v>
      </c>
      <c r="O503" t="s">
        <v>103</v>
      </c>
      <c r="P503" s="2">
        <v>568</v>
      </c>
      <c r="Q503" t="s">
        <v>29</v>
      </c>
      <c r="R503" t="s">
        <v>30</v>
      </c>
      <c r="S503" t="s">
        <v>31</v>
      </c>
      <c r="T503" t="s">
        <v>43</v>
      </c>
    </row>
    <row r="504" spans="1:20" x14ac:dyDescent="0.25">
      <c r="A504" s="2">
        <v>503</v>
      </c>
      <c r="B504" s="2">
        <v>50966</v>
      </c>
      <c r="C504" t="s">
        <v>33</v>
      </c>
      <c r="D504" t="s">
        <v>52</v>
      </c>
      <c r="E504" t="s">
        <v>34</v>
      </c>
      <c r="F504" t="s">
        <v>35</v>
      </c>
      <c r="G504" t="s">
        <v>55</v>
      </c>
      <c r="H504" t="s">
        <v>73</v>
      </c>
      <c r="I504" t="s">
        <v>47</v>
      </c>
      <c r="J504" t="s">
        <v>48</v>
      </c>
      <c r="K504" s="6">
        <f t="shared" si="15"/>
        <v>1.25</v>
      </c>
      <c r="L504" t="s">
        <v>64</v>
      </c>
      <c r="M504">
        <f t="shared" si="14"/>
        <v>7</v>
      </c>
      <c r="N504" t="s">
        <v>27</v>
      </c>
      <c r="O504" t="s">
        <v>102</v>
      </c>
      <c r="P504" s="2">
        <v>973</v>
      </c>
      <c r="Q504" t="s">
        <v>74</v>
      </c>
      <c r="R504" t="s">
        <v>42</v>
      </c>
      <c r="S504" t="s">
        <v>50</v>
      </c>
      <c r="T504" t="s">
        <v>43</v>
      </c>
    </row>
    <row r="505" spans="1:20" x14ac:dyDescent="0.25">
      <c r="A505" s="2">
        <v>504</v>
      </c>
      <c r="B505" s="2">
        <v>94282</v>
      </c>
      <c r="C505" t="s">
        <v>33</v>
      </c>
      <c r="D505" t="s">
        <v>52</v>
      </c>
      <c r="E505" t="s">
        <v>87</v>
      </c>
      <c r="F505" t="s">
        <v>88</v>
      </c>
      <c r="G505" t="s">
        <v>55</v>
      </c>
      <c r="H505" t="s">
        <v>73</v>
      </c>
      <c r="I505" t="s">
        <v>47</v>
      </c>
      <c r="J505" t="s">
        <v>48</v>
      </c>
      <c r="K505" s="6">
        <f t="shared" si="15"/>
        <v>0.625</v>
      </c>
      <c r="L505" t="s">
        <v>26</v>
      </c>
      <c r="M505">
        <f t="shared" si="14"/>
        <v>1</v>
      </c>
      <c r="N505" t="s">
        <v>104</v>
      </c>
      <c r="O505" t="s">
        <v>82</v>
      </c>
      <c r="P505" s="2">
        <v>1436</v>
      </c>
      <c r="Q505" t="s">
        <v>29</v>
      </c>
      <c r="R505" t="s">
        <v>68</v>
      </c>
      <c r="S505" t="s">
        <v>31</v>
      </c>
      <c r="T505" t="s">
        <v>59</v>
      </c>
    </row>
    <row r="506" spans="1:20" x14ac:dyDescent="0.25">
      <c r="A506" s="2">
        <v>505</v>
      </c>
      <c r="B506" s="2">
        <v>19565</v>
      </c>
      <c r="C506" t="s">
        <v>33</v>
      </c>
      <c r="D506" t="s">
        <v>52</v>
      </c>
      <c r="E506" t="s">
        <v>79</v>
      </c>
      <c r="F506" t="s">
        <v>80</v>
      </c>
      <c r="G506" t="s">
        <v>98</v>
      </c>
      <c r="H506" t="s">
        <v>23</v>
      </c>
      <c r="I506" t="s">
        <v>38</v>
      </c>
      <c r="J506" t="s">
        <v>57</v>
      </c>
      <c r="K506" s="6">
        <f t="shared" si="15"/>
        <v>1</v>
      </c>
      <c r="L506" t="s">
        <v>64</v>
      </c>
      <c r="M506">
        <f t="shared" si="14"/>
        <v>7</v>
      </c>
      <c r="N506" t="s">
        <v>40</v>
      </c>
      <c r="O506" t="s">
        <v>72</v>
      </c>
      <c r="P506" s="2">
        <v>549</v>
      </c>
      <c r="Q506" t="s">
        <v>104</v>
      </c>
      <c r="R506" t="s">
        <v>42</v>
      </c>
      <c r="S506" t="s">
        <v>31</v>
      </c>
      <c r="T506" t="s">
        <v>43</v>
      </c>
    </row>
    <row r="507" spans="1:20" x14ac:dyDescent="0.25">
      <c r="A507" s="2">
        <v>506</v>
      </c>
      <c r="B507" s="2">
        <v>55852</v>
      </c>
      <c r="C507" t="s">
        <v>19</v>
      </c>
      <c r="D507" t="s">
        <v>52</v>
      </c>
      <c r="E507" t="s">
        <v>101</v>
      </c>
      <c r="F507" t="s">
        <v>80</v>
      </c>
      <c r="G507" t="s">
        <v>78</v>
      </c>
      <c r="H507" t="s">
        <v>73</v>
      </c>
      <c r="I507" t="s">
        <v>94</v>
      </c>
      <c r="J507" t="s">
        <v>57</v>
      </c>
      <c r="K507" s="6">
        <f t="shared" si="15"/>
        <v>0.375</v>
      </c>
      <c r="L507" t="s">
        <v>64</v>
      </c>
      <c r="M507">
        <f t="shared" si="14"/>
        <v>7</v>
      </c>
      <c r="N507" t="s">
        <v>27</v>
      </c>
      <c r="O507" t="s">
        <v>28</v>
      </c>
      <c r="P507" s="2">
        <v>1122</v>
      </c>
      <c r="Q507" t="s">
        <v>29</v>
      </c>
      <c r="R507" t="s">
        <v>68</v>
      </c>
      <c r="S507" t="s">
        <v>50</v>
      </c>
      <c r="T507" t="s">
        <v>32</v>
      </c>
    </row>
    <row r="508" spans="1:20" x14ac:dyDescent="0.25">
      <c r="A508" s="2">
        <v>507</v>
      </c>
      <c r="B508" s="2">
        <v>10358</v>
      </c>
      <c r="C508" t="s">
        <v>60</v>
      </c>
      <c r="D508" t="s">
        <v>52</v>
      </c>
      <c r="E508" t="s">
        <v>53</v>
      </c>
      <c r="F508" t="s">
        <v>54</v>
      </c>
      <c r="G508" t="s">
        <v>45</v>
      </c>
      <c r="H508" t="s">
        <v>46</v>
      </c>
      <c r="I508" t="s">
        <v>38</v>
      </c>
      <c r="J508" t="s">
        <v>57</v>
      </c>
      <c r="K508" s="6">
        <f t="shared" si="15"/>
        <v>1</v>
      </c>
      <c r="L508" t="s">
        <v>26</v>
      </c>
      <c r="M508">
        <f t="shared" si="14"/>
        <v>1</v>
      </c>
      <c r="N508" t="s">
        <v>27</v>
      </c>
      <c r="O508" t="s">
        <v>103</v>
      </c>
      <c r="P508" s="2">
        <v>347</v>
      </c>
      <c r="Q508" t="s">
        <v>29</v>
      </c>
      <c r="R508" t="s">
        <v>42</v>
      </c>
      <c r="S508" t="s">
        <v>69</v>
      </c>
      <c r="T508" t="s">
        <v>59</v>
      </c>
    </row>
    <row r="509" spans="1:20" x14ac:dyDescent="0.25">
      <c r="A509" s="2">
        <v>508</v>
      </c>
      <c r="B509" s="2">
        <v>73822</v>
      </c>
      <c r="C509" t="s">
        <v>33</v>
      </c>
      <c r="D509" t="s">
        <v>66</v>
      </c>
      <c r="E509" t="s">
        <v>44</v>
      </c>
      <c r="F509" t="s">
        <v>44</v>
      </c>
      <c r="G509" t="s">
        <v>70</v>
      </c>
      <c r="H509" t="s">
        <v>46</v>
      </c>
      <c r="I509" t="s">
        <v>47</v>
      </c>
      <c r="J509" t="s">
        <v>48</v>
      </c>
      <c r="K509" s="6">
        <f t="shared" si="15"/>
        <v>2.5</v>
      </c>
      <c r="L509" t="s">
        <v>64</v>
      </c>
      <c r="M509">
        <f t="shared" si="14"/>
        <v>7</v>
      </c>
      <c r="N509" t="s">
        <v>27</v>
      </c>
      <c r="O509" t="s">
        <v>82</v>
      </c>
      <c r="P509" s="2">
        <v>365</v>
      </c>
      <c r="Q509" t="s">
        <v>29</v>
      </c>
      <c r="R509" t="s">
        <v>75</v>
      </c>
      <c r="S509" t="s">
        <v>50</v>
      </c>
      <c r="T509" t="s">
        <v>43</v>
      </c>
    </row>
    <row r="510" spans="1:20" x14ac:dyDescent="0.25">
      <c r="A510" s="2">
        <v>509</v>
      </c>
      <c r="B510" s="2">
        <v>21985</v>
      </c>
      <c r="C510" t="s">
        <v>33</v>
      </c>
      <c r="D510" t="s">
        <v>66</v>
      </c>
      <c r="E510" t="s">
        <v>84</v>
      </c>
      <c r="F510" t="s">
        <v>85</v>
      </c>
      <c r="G510" t="s">
        <v>22</v>
      </c>
      <c r="H510" t="s">
        <v>23</v>
      </c>
      <c r="I510" t="s">
        <v>56</v>
      </c>
      <c r="J510" t="s">
        <v>57</v>
      </c>
      <c r="K510" s="6">
        <f t="shared" si="15"/>
        <v>1.1000000000000001</v>
      </c>
      <c r="L510" t="s">
        <v>26</v>
      </c>
      <c r="M510">
        <f t="shared" si="14"/>
        <v>1</v>
      </c>
      <c r="N510" t="s">
        <v>27</v>
      </c>
      <c r="O510" t="s">
        <v>82</v>
      </c>
      <c r="P510" s="2">
        <v>666</v>
      </c>
      <c r="Q510" t="s">
        <v>41</v>
      </c>
      <c r="R510" t="s">
        <v>42</v>
      </c>
      <c r="S510" t="s">
        <v>69</v>
      </c>
      <c r="T510" t="s">
        <v>32</v>
      </c>
    </row>
    <row r="511" spans="1:20" x14ac:dyDescent="0.25">
      <c r="A511" s="2">
        <v>510</v>
      </c>
      <c r="B511" s="2">
        <v>78326</v>
      </c>
      <c r="C511" t="s">
        <v>51</v>
      </c>
      <c r="D511" t="s">
        <v>52</v>
      </c>
      <c r="E511" t="s">
        <v>89</v>
      </c>
      <c r="F511" t="s">
        <v>90</v>
      </c>
      <c r="G511" t="s">
        <v>81</v>
      </c>
      <c r="H511" t="s">
        <v>71</v>
      </c>
      <c r="I511" t="s">
        <v>94</v>
      </c>
      <c r="J511" t="s">
        <v>25</v>
      </c>
      <c r="K511" s="6">
        <f t="shared" si="15"/>
        <v>1.5</v>
      </c>
      <c r="L511" t="s">
        <v>64</v>
      </c>
      <c r="M511">
        <f t="shared" si="14"/>
        <v>7</v>
      </c>
      <c r="N511" t="s">
        <v>27</v>
      </c>
      <c r="O511" t="s">
        <v>102</v>
      </c>
      <c r="P511" s="2">
        <v>374</v>
      </c>
      <c r="Q511" t="s">
        <v>74</v>
      </c>
      <c r="R511" t="s">
        <v>75</v>
      </c>
      <c r="S511" t="s">
        <v>50</v>
      </c>
      <c r="T511" t="s">
        <v>59</v>
      </c>
    </row>
    <row r="512" spans="1:20" x14ac:dyDescent="0.25">
      <c r="A512" s="2">
        <v>511</v>
      </c>
      <c r="B512" s="2">
        <v>53701</v>
      </c>
      <c r="C512" t="s">
        <v>60</v>
      </c>
      <c r="D512" t="s">
        <v>66</v>
      </c>
      <c r="E512" t="s">
        <v>101</v>
      </c>
      <c r="F512" t="s">
        <v>80</v>
      </c>
      <c r="G512" t="s">
        <v>98</v>
      </c>
      <c r="H512" t="s">
        <v>46</v>
      </c>
      <c r="I512" t="s">
        <v>83</v>
      </c>
      <c r="J512" t="s">
        <v>25</v>
      </c>
      <c r="K512" s="6">
        <f t="shared" si="15"/>
        <v>0.55000000000000004</v>
      </c>
      <c r="L512" t="s">
        <v>64</v>
      </c>
      <c r="M512">
        <f t="shared" si="14"/>
        <v>7</v>
      </c>
      <c r="N512" t="s">
        <v>104</v>
      </c>
      <c r="O512" t="s">
        <v>103</v>
      </c>
      <c r="P512" s="2">
        <v>555</v>
      </c>
      <c r="Q512" t="s">
        <v>74</v>
      </c>
      <c r="R512" t="s">
        <v>68</v>
      </c>
      <c r="S512" t="s">
        <v>31</v>
      </c>
      <c r="T512" t="s">
        <v>32</v>
      </c>
    </row>
    <row r="513" spans="1:20" x14ac:dyDescent="0.25">
      <c r="A513" s="2">
        <v>512</v>
      </c>
      <c r="B513" s="2">
        <v>70644</v>
      </c>
      <c r="C513" t="s">
        <v>33</v>
      </c>
      <c r="D513" t="s">
        <v>52</v>
      </c>
      <c r="E513" t="s">
        <v>44</v>
      </c>
      <c r="F513" t="s">
        <v>44</v>
      </c>
      <c r="G513" t="s">
        <v>55</v>
      </c>
      <c r="H513" t="s">
        <v>73</v>
      </c>
      <c r="I513" t="s">
        <v>47</v>
      </c>
      <c r="J513" t="s">
        <v>48</v>
      </c>
      <c r="K513" s="6">
        <f t="shared" si="15"/>
        <v>0.625</v>
      </c>
      <c r="L513" t="s">
        <v>49</v>
      </c>
      <c r="M513">
        <f t="shared" si="14"/>
        <v>3</v>
      </c>
      <c r="N513" t="s">
        <v>27</v>
      </c>
      <c r="O513" t="s">
        <v>28</v>
      </c>
      <c r="P513" s="2">
        <v>1196</v>
      </c>
      <c r="Q513" t="s">
        <v>41</v>
      </c>
      <c r="R513" t="s">
        <v>68</v>
      </c>
      <c r="S513" t="s">
        <v>31</v>
      </c>
      <c r="T513" t="s">
        <v>43</v>
      </c>
    </row>
    <row r="514" spans="1:20" x14ac:dyDescent="0.25">
      <c r="A514" s="2">
        <v>513</v>
      </c>
      <c r="B514" s="2">
        <v>30728</v>
      </c>
      <c r="C514" t="s">
        <v>96</v>
      </c>
      <c r="D514" t="s">
        <v>52</v>
      </c>
      <c r="E514" t="s">
        <v>79</v>
      </c>
      <c r="F514" t="s">
        <v>80</v>
      </c>
      <c r="G514" t="s">
        <v>70</v>
      </c>
      <c r="H514" t="s">
        <v>71</v>
      </c>
      <c r="I514" t="s">
        <v>24</v>
      </c>
      <c r="J514" t="s">
        <v>25</v>
      </c>
      <c r="K514" s="6">
        <f t="shared" si="15"/>
        <v>2.4</v>
      </c>
      <c r="L514" t="s">
        <v>64</v>
      </c>
      <c r="M514">
        <f t="shared" ref="M514:M577" si="16">IF(L514="daily",7,IF(L514="weekly",3,1))</f>
        <v>7</v>
      </c>
      <c r="N514" t="s">
        <v>40</v>
      </c>
      <c r="O514" t="s">
        <v>82</v>
      </c>
      <c r="P514" s="2">
        <v>193</v>
      </c>
      <c r="Q514" t="s">
        <v>104</v>
      </c>
      <c r="R514" t="s">
        <v>30</v>
      </c>
      <c r="S514" t="s">
        <v>69</v>
      </c>
      <c r="T514" t="s">
        <v>43</v>
      </c>
    </row>
    <row r="515" spans="1:20" x14ac:dyDescent="0.25">
      <c r="A515" s="2">
        <v>514</v>
      </c>
      <c r="B515" s="2">
        <v>58445</v>
      </c>
      <c r="C515" t="s">
        <v>19</v>
      </c>
      <c r="D515" t="s">
        <v>66</v>
      </c>
      <c r="E515" t="s">
        <v>84</v>
      </c>
      <c r="F515" t="s">
        <v>85</v>
      </c>
      <c r="G515" t="s">
        <v>98</v>
      </c>
      <c r="H515" t="s">
        <v>71</v>
      </c>
      <c r="I515" t="s">
        <v>24</v>
      </c>
      <c r="J515" t="s">
        <v>86</v>
      </c>
      <c r="K515" s="6">
        <f t="shared" ref="K515:K578" si="17">IF(R515="Morning",2,IF(R515="Night",2,IF(R515="Evening",1,0.5)))
*
IF(I515="Espresso",0.75,IF(I515="Cold Brew",1.25,IF(I515="Filter Coffee",1.2,IF(I515="Instant Coffee",1,1.1))))</f>
        <v>1.2</v>
      </c>
      <c r="L515" t="s">
        <v>26</v>
      </c>
      <c r="M515">
        <f t="shared" si="16"/>
        <v>1</v>
      </c>
      <c r="N515" t="s">
        <v>27</v>
      </c>
      <c r="O515" t="s">
        <v>103</v>
      </c>
      <c r="P515" s="2">
        <v>343</v>
      </c>
      <c r="Q515" t="s">
        <v>41</v>
      </c>
      <c r="R515" t="s">
        <v>42</v>
      </c>
      <c r="S515" t="s">
        <v>31</v>
      </c>
      <c r="T515" t="s">
        <v>32</v>
      </c>
    </row>
    <row r="516" spans="1:20" x14ac:dyDescent="0.25">
      <c r="A516" s="2">
        <v>515</v>
      </c>
      <c r="B516" s="2">
        <v>72054</v>
      </c>
      <c r="C516" t="s">
        <v>96</v>
      </c>
      <c r="D516" t="s">
        <v>52</v>
      </c>
      <c r="E516" t="s">
        <v>20</v>
      </c>
      <c r="F516" t="s">
        <v>21</v>
      </c>
      <c r="G516" t="s">
        <v>92</v>
      </c>
      <c r="H516" t="s">
        <v>71</v>
      </c>
      <c r="I516" t="s">
        <v>24</v>
      </c>
      <c r="J516" t="s">
        <v>25</v>
      </c>
      <c r="K516" s="6">
        <f t="shared" si="17"/>
        <v>2.4</v>
      </c>
      <c r="L516" t="s">
        <v>64</v>
      </c>
      <c r="M516">
        <f t="shared" si="16"/>
        <v>7</v>
      </c>
      <c r="N516" t="s">
        <v>104</v>
      </c>
      <c r="O516" t="s">
        <v>82</v>
      </c>
      <c r="P516" s="2">
        <v>363</v>
      </c>
      <c r="Q516" t="s">
        <v>104</v>
      </c>
      <c r="R516" t="s">
        <v>30</v>
      </c>
      <c r="S516" t="s">
        <v>58</v>
      </c>
      <c r="T516" t="s">
        <v>32</v>
      </c>
    </row>
    <row r="517" spans="1:20" x14ac:dyDescent="0.25">
      <c r="A517" s="2">
        <v>516</v>
      </c>
      <c r="B517" s="2">
        <v>16570</v>
      </c>
      <c r="C517" t="s">
        <v>33</v>
      </c>
      <c r="D517" t="s">
        <v>52</v>
      </c>
      <c r="E517" t="s">
        <v>53</v>
      </c>
      <c r="F517" t="s">
        <v>54</v>
      </c>
      <c r="G517" t="s">
        <v>81</v>
      </c>
      <c r="H517" t="s">
        <v>71</v>
      </c>
      <c r="I517" t="s">
        <v>47</v>
      </c>
      <c r="J517" t="s">
        <v>48</v>
      </c>
      <c r="K517" s="6">
        <f t="shared" si="17"/>
        <v>2.5</v>
      </c>
      <c r="L517" t="s">
        <v>64</v>
      </c>
      <c r="M517">
        <f t="shared" si="16"/>
        <v>7</v>
      </c>
      <c r="N517" t="s">
        <v>40</v>
      </c>
      <c r="O517" t="s">
        <v>82</v>
      </c>
      <c r="P517" s="2">
        <v>371</v>
      </c>
      <c r="Q517" t="s">
        <v>29</v>
      </c>
      <c r="R517" t="s">
        <v>30</v>
      </c>
      <c r="S517" t="s">
        <v>31</v>
      </c>
      <c r="T517" t="s">
        <v>59</v>
      </c>
    </row>
    <row r="518" spans="1:20" x14ac:dyDescent="0.25">
      <c r="A518" s="2">
        <v>517</v>
      </c>
      <c r="B518" s="2">
        <v>41856</v>
      </c>
      <c r="C518" t="s">
        <v>33</v>
      </c>
      <c r="D518" t="s">
        <v>52</v>
      </c>
      <c r="E518" t="s">
        <v>87</v>
      </c>
      <c r="F518" t="s">
        <v>88</v>
      </c>
      <c r="G518" t="s">
        <v>81</v>
      </c>
      <c r="H518" t="s">
        <v>46</v>
      </c>
      <c r="I518" t="s">
        <v>24</v>
      </c>
      <c r="J518" t="s">
        <v>25</v>
      </c>
      <c r="K518" s="6">
        <f t="shared" si="17"/>
        <v>0.6</v>
      </c>
      <c r="L518" t="s">
        <v>64</v>
      </c>
      <c r="M518">
        <f t="shared" si="16"/>
        <v>7</v>
      </c>
      <c r="N518" t="s">
        <v>27</v>
      </c>
      <c r="O518" t="s">
        <v>82</v>
      </c>
      <c r="P518" s="2">
        <v>429</v>
      </c>
      <c r="Q518" t="s">
        <v>74</v>
      </c>
      <c r="R518" t="s">
        <v>68</v>
      </c>
      <c r="S518" t="s">
        <v>50</v>
      </c>
      <c r="T518" t="s">
        <v>59</v>
      </c>
    </row>
    <row r="519" spans="1:20" x14ac:dyDescent="0.25">
      <c r="A519" s="2">
        <v>518</v>
      </c>
      <c r="B519" s="2">
        <v>99859</v>
      </c>
      <c r="C519" t="s">
        <v>33</v>
      </c>
      <c r="D519" t="s">
        <v>52</v>
      </c>
      <c r="E519" t="s">
        <v>93</v>
      </c>
      <c r="F519" t="s">
        <v>62</v>
      </c>
      <c r="G519" t="s">
        <v>55</v>
      </c>
      <c r="H519" t="s">
        <v>37</v>
      </c>
      <c r="I519" t="s">
        <v>47</v>
      </c>
      <c r="J519" t="s">
        <v>48</v>
      </c>
      <c r="K519" s="6">
        <f t="shared" si="17"/>
        <v>2.5</v>
      </c>
      <c r="L519" t="s">
        <v>64</v>
      </c>
      <c r="M519">
        <f t="shared" si="16"/>
        <v>7</v>
      </c>
      <c r="N519" t="s">
        <v>27</v>
      </c>
      <c r="O519" t="s">
        <v>28</v>
      </c>
      <c r="P519" s="2">
        <v>1296</v>
      </c>
      <c r="Q519" t="s">
        <v>29</v>
      </c>
      <c r="R519" t="s">
        <v>30</v>
      </c>
      <c r="S519" t="s">
        <v>58</v>
      </c>
      <c r="T519" t="s">
        <v>43</v>
      </c>
    </row>
    <row r="520" spans="1:20" x14ac:dyDescent="0.25">
      <c r="A520" s="2">
        <v>519</v>
      </c>
      <c r="B520" s="2">
        <v>75222</v>
      </c>
      <c r="C520" t="s">
        <v>19</v>
      </c>
      <c r="D520" t="s">
        <v>52</v>
      </c>
      <c r="E520" t="s">
        <v>95</v>
      </c>
      <c r="F520" t="s">
        <v>21</v>
      </c>
      <c r="G520" t="s">
        <v>98</v>
      </c>
      <c r="H520" t="s">
        <v>73</v>
      </c>
      <c r="I520" t="s">
        <v>56</v>
      </c>
      <c r="J520" t="s">
        <v>86</v>
      </c>
      <c r="K520" s="6">
        <f t="shared" si="17"/>
        <v>2.2000000000000002</v>
      </c>
      <c r="L520" t="s">
        <v>49</v>
      </c>
      <c r="M520">
        <f t="shared" si="16"/>
        <v>3</v>
      </c>
      <c r="N520" t="s">
        <v>104</v>
      </c>
      <c r="O520" t="s">
        <v>82</v>
      </c>
      <c r="P520" s="2">
        <v>1331</v>
      </c>
      <c r="Q520" t="s">
        <v>104</v>
      </c>
      <c r="R520" t="s">
        <v>75</v>
      </c>
      <c r="S520" t="s">
        <v>50</v>
      </c>
      <c r="T520" t="s">
        <v>43</v>
      </c>
    </row>
    <row r="521" spans="1:20" x14ac:dyDescent="0.25">
      <c r="A521" s="2">
        <v>520</v>
      </c>
      <c r="B521" s="2">
        <v>99225</v>
      </c>
      <c r="C521" t="s">
        <v>51</v>
      </c>
      <c r="D521" t="s">
        <v>52</v>
      </c>
      <c r="E521" t="s">
        <v>97</v>
      </c>
      <c r="F521" t="s">
        <v>62</v>
      </c>
      <c r="G521" t="s">
        <v>55</v>
      </c>
      <c r="H521" t="s">
        <v>46</v>
      </c>
      <c r="I521" t="s">
        <v>94</v>
      </c>
      <c r="J521" t="s">
        <v>57</v>
      </c>
      <c r="K521" s="6">
        <f t="shared" si="17"/>
        <v>1.5</v>
      </c>
      <c r="L521" t="s">
        <v>64</v>
      </c>
      <c r="M521">
        <f t="shared" si="16"/>
        <v>7</v>
      </c>
      <c r="N521" t="s">
        <v>40</v>
      </c>
      <c r="O521" t="s">
        <v>102</v>
      </c>
      <c r="P521" s="2">
        <v>351</v>
      </c>
      <c r="Q521" t="s">
        <v>104</v>
      </c>
      <c r="R521" t="s">
        <v>30</v>
      </c>
      <c r="S521" t="s">
        <v>50</v>
      </c>
      <c r="T521" t="s">
        <v>59</v>
      </c>
    </row>
    <row r="522" spans="1:20" x14ac:dyDescent="0.25">
      <c r="A522" s="2">
        <v>521</v>
      </c>
      <c r="B522" s="2">
        <v>80956</v>
      </c>
      <c r="C522" t="s">
        <v>51</v>
      </c>
      <c r="D522" t="s">
        <v>52</v>
      </c>
      <c r="E522" t="s">
        <v>95</v>
      </c>
      <c r="F522" t="s">
        <v>21</v>
      </c>
      <c r="G522" t="s">
        <v>70</v>
      </c>
      <c r="H522" t="s">
        <v>46</v>
      </c>
      <c r="I522" t="s">
        <v>24</v>
      </c>
      <c r="J522" t="s">
        <v>25</v>
      </c>
      <c r="K522" s="6">
        <f t="shared" si="17"/>
        <v>2.4</v>
      </c>
      <c r="L522" t="s">
        <v>49</v>
      </c>
      <c r="M522">
        <f t="shared" si="16"/>
        <v>3</v>
      </c>
      <c r="N522" t="s">
        <v>27</v>
      </c>
      <c r="O522" t="s">
        <v>28</v>
      </c>
      <c r="P522" s="2">
        <v>412</v>
      </c>
      <c r="Q522" t="s">
        <v>41</v>
      </c>
      <c r="R522" t="s">
        <v>30</v>
      </c>
      <c r="S522" t="s">
        <v>50</v>
      </c>
      <c r="T522" t="s">
        <v>43</v>
      </c>
    </row>
    <row r="523" spans="1:20" x14ac:dyDescent="0.25">
      <c r="A523" s="2">
        <v>522</v>
      </c>
      <c r="B523" s="2">
        <v>13134</v>
      </c>
      <c r="C523" t="s">
        <v>33</v>
      </c>
      <c r="D523" t="s">
        <v>66</v>
      </c>
      <c r="E523" t="s">
        <v>99</v>
      </c>
      <c r="F523" t="s">
        <v>100</v>
      </c>
      <c r="G523" t="s">
        <v>92</v>
      </c>
      <c r="H523" t="s">
        <v>73</v>
      </c>
      <c r="I523" t="s">
        <v>24</v>
      </c>
      <c r="J523" t="s">
        <v>39</v>
      </c>
      <c r="K523" s="6">
        <f t="shared" si="17"/>
        <v>2.4</v>
      </c>
      <c r="L523" t="s">
        <v>64</v>
      </c>
      <c r="M523">
        <f t="shared" si="16"/>
        <v>7</v>
      </c>
      <c r="N523" t="s">
        <v>27</v>
      </c>
      <c r="O523" t="s">
        <v>82</v>
      </c>
      <c r="P523" s="2">
        <v>1420</v>
      </c>
      <c r="Q523" t="s">
        <v>29</v>
      </c>
      <c r="R523" t="s">
        <v>75</v>
      </c>
      <c r="S523" t="s">
        <v>31</v>
      </c>
      <c r="T523" t="s">
        <v>32</v>
      </c>
    </row>
    <row r="524" spans="1:20" x14ac:dyDescent="0.25">
      <c r="A524" s="2">
        <v>523</v>
      </c>
      <c r="B524" s="2">
        <v>87568</v>
      </c>
      <c r="C524" t="s">
        <v>51</v>
      </c>
      <c r="D524" t="s">
        <v>66</v>
      </c>
      <c r="E524" t="s">
        <v>87</v>
      </c>
      <c r="F524" t="s">
        <v>88</v>
      </c>
      <c r="G524" t="s">
        <v>98</v>
      </c>
      <c r="H524" t="s">
        <v>23</v>
      </c>
      <c r="I524" t="s">
        <v>24</v>
      </c>
      <c r="J524" t="s">
        <v>25</v>
      </c>
      <c r="K524" s="6">
        <f t="shared" si="17"/>
        <v>2.4</v>
      </c>
      <c r="L524" t="s">
        <v>64</v>
      </c>
      <c r="M524">
        <f t="shared" si="16"/>
        <v>7</v>
      </c>
      <c r="N524" t="s">
        <v>40</v>
      </c>
      <c r="O524" t="s">
        <v>102</v>
      </c>
      <c r="P524" s="2">
        <v>662</v>
      </c>
      <c r="Q524" t="s">
        <v>74</v>
      </c>
      <c r="R524" t="s">
        <v>30</v>
      </c>
      <c r="S524" t="s">
        <v>69</v>
      </c>
      <c r="T524" t="s">
        <v>59</v>
      </c>
    </row>
    <row r="525" spans="1:20" x14ac:dyDescent="0.25">
      <c r="A525" s="2">
        <v>524</v>
      </c>
      <c r="B525" s="2">
        <v>16542</v>
      </c>
      <c r="C525" t="s">
        <v>96</v>
      </c>
      <c r="D525" t="s">
        <v>66</v>
      </c>
      <c r="E525" t="s">
        <v>44</v>
      </c>
      <c r="F525" t="s">
        <v>44</v>
      </c>
      <c r="G525" t="s">
        <v>78</v>
      </c>
      <c r="H525" t="s">
        <v>71</v>
      </c>
      <c r="I525" t="s">
        <v>47</v>
      </c>
      <c r="J525" t="s">
        <v>39</v>
      </c>
      <c r="K525" s="6">
        <f t="shared" si="17"/>
        <v>2.5</v>
      </c>
      <c r="L525" t="s">
        <v>26</v>
      </c>
      <c r="M525">
        <f t="shared" si="16"/>
        <v>1</v>
      </c>
      <c r="N525" t="s">
        <v>40</v>
      </c>
      <c r="O525" t="s">
        <v>103</v>
      </c>
      <c r="P525" s="2">
        <v>369</v>
      </c>
      <c r="Q525" t="s">
        <v>74</v>
      </c>
      <c r="R525" t="s">
        <v>75</v>
      </c>
      <c r="S525" t="s">
        <v>69</v>
      </c>
      <c r="T525" t="s">
        <v>43</v>
      </c>
    </row>
    <row r="526" spans="1:20" x14ac:dyDescent="0.25">
      <c r="A526" s="2">
        <v>525</v>
      </c>
      <c r="B526" s="2">
        <v>43010</v>
      </c>
      <c r="C526" t="s">
        <v>51</v>
      </c>
      <c r="D526" t="s">
        <v>66</v>
      </c>
      <c r="E526" t="s">
        <v>93</v>
      </c>
      <c r="F526" t="s">
        <v>62</v>
      </c>
      <c r="G526" t="s">
        <v>70</v>
      </c>
      <c r="H526" t="s">
        <v>23</v>
      </c>
      <c r="I526" t="s">
        <v>47</v>
      </c>
      <c r="J526" t="s">
        <v>86</v>
      </c>
      <c r="K526" s="6">
        <f t="shared" si="17"/>
        <v>2.5</v>
      </c>
      <c r="L526" t="s">
        <v>26</v>
      </c>
      <c r="M526">
        <f t="shared" si="16"/>
        <v>1</v>
      </c>
      <c r="N526" t="s">
        <v>40</v>
      </c>
      <c r="O526" t="s">
        <v>82</v>
      </c>
      <c r="P526" s="2">
        <v>436</v>
      </c>
      <c r="Q526" t="s">
        <v>29</v>
      </c>
      <c r="R526" t="s">
        <v>30</v>
      </c>
      <c r="S526" t="s">
        <v>31</v>
      </c>
      <c r="T526" t="s">
        <v>43</v>
      </c>
    </row>
    <row r="527" spans="1:20" x14ac:dyDescent="0.25">
      <c r="A527" s="2">
        <v>526</v>
      </c>
      <c r="B527" s="2">
        <v>79948</v>
      </c>
      <c r="C527" t="s">
        <v>19</v>
      </c>
      <c r="D527" t="s">
        <v>66</v>
      </c>
      <c r="E527" t="s">
        <v>99</v>
      </c>
      <c r="F527" t="s">
        <v>100</v>
      </c>
      <c r="G527" t="s">
        <v>63</v>
      </c>
      <c r="H527" t="s">
        <v>46</v>
      </c>
      <c r="I527" t="s">
        <v>83</v>
      </c>
      <c r="J527" t="s">
        <v>86</v>
      </c>
      <c r="K527" s="6">
        <f t="shared" si="17"/>
        <v>0.55000000000000004</v>
      </c>
      <c r="L527" t="s">
        <v>49</v>
      </c>
      <c r="M527">
        <f t="shared" si="16"/>
        <v>3</v>
      </c>
      <c r="N527" t="s">
        <v>27</v>
      </c>
      <c r="O527" t="s">
        <v>28</v>
      </c>
      <c r="P527" s="2">
        <v>452</v>
      </c>
      <c r="Q527" t="s">
        <v>74</v>
      </c>
      <c r="R527" t="s">
        <v>68</v>
      </c>
      <c r="S527" t="s">
        <v>58</v>
      </c>
      <c r="T527" t="s">
        <v>32</v>
      </c>
    </row>
    <row r="528" spans="1:20" x14ac:dyDescent="0.25">
      <c r="A528" s="2">
        <v>527</v>
      </c>
      <c r="B528" s="2">
        <v>85187</v>
      </c>
      <c r="C528" t="s">
        <v>51</v>
      </c>
      <c r="D528" t="s">
        <v>52</v>
      </c>
      <c r="E528" t="s">
        <v>34</v>
      </c>
      <c r="F528" t="s">
        <v>35</v>
      </c>
      <c r="G528" t="s">
        <v>70</v>
      </c>
      <c r="H528" t="s">
        <v>73</v>
      </c>
      <c r="I528" t="s">
        <v>24</v>
      </c>
      <c r="J528" t="s">
        <v>57</v>
      </c>
      <c r="K528" s="6">
        <f t="shared" si="17"/>
        <v>2.4</v>
      </c>
      <c r="L528" t="s">
        <v>64</v>
      </c>
      <c r="M528">
        <f t="shared" si="16"/>
        <v>7</v>
      </c>
      <c r="N528" t="s">
        <v>27</v>
      </c>
      <c r="O528" t="s">
        <v>28</v>
      </c>
      <c r="P528" s="2">
        <v>1170</v>
      </c>
      <c r="Q528" t="s">
        <v>29</v>
      </c>
      <c r="R528" t="s">
        <v>75</v>
      </c>
      <c r="S528" t="s">
        <v>50</v>
      </c>
      <c r="T528" t="s">
        <v>43</v>
      </c>
    </row>
    <row r="529" spans="1:20" x14ac:dyDescent="0.25">
      <c r="A529" s="2">
        <v>528</v>
      </c>
      <c r="B529" s="2">
        <v>67175</v>
      </c>
      <c r="C529" t="s">
        <v>96</v>
      </c>
      <c r="D529" t="s">
        <v>52</v>
      </c>
      <c r="E529" t="s">
        <v>20</v>
      </c>
      <c r="F529" t="s">
        <v>21</v>
      </c>
      <c r="G529" t="s">
        <v>81</v>
      </c>
      <c r="H529" t="s">
        <v>23</v>
      </c>
      <c r="I529" t="s">
        <v>24</v>
      </c>
      <c r="J529" t="s">
        <v>25</v>
      </c>
      <c r="K529" s="6">
        <f t="shared" si="17"/>
        <v>2.4</v>
      </c>
      <c r="L529" t="s">
        <v>49</v>
      </c>
      <c r="M529">
        <f t="shared" si="16"/>
        <v>3</v>
      </c>
      <c r="N529" t="s">
        <v>40</v>
      </c>
      <c r="O529" t="s">
        <v>103</v>
      </c>
      <c r="P529" s="2">
        <v>409</v>
      </c>
      <c r="Q529" t="s">
        <v>104</v>
      </c>
      <c r="R529" t="s">
        <v>75</v>
      </c>
      <c r="S529" t="s">
        <v>58</v>
      </c>
      <c r="T529" t="s">
        <v>32</v>
      </c>
    </row>
    <row r="530" spans="1:20" x14ac:dyDescent="0.25">
      <c r="A530" s="2">
        <v>529</v>
      </c>
      <c r="B530" s="2">
        <v>31428</v>
      </c>
      <c r="C530" t="s">
        <v>51</v>
      </c>
      <c r="D530" t="s">
        <v>66</v>
      </c>
      <c r="E530" t="s">
        <v>53</v>
      </c>
      <c r="F530" t="s">
        <v>54</v>
      </c>
      <c r="G530" t="s">
        <v>98</v>
      </c>
      <c r="H530" t="s">
        <v>23</v>
      </c>
      <c r="I530" t="s">
        <v>38</v>
      </c>
      <c r="J530" t="s">
        <v>39</v>
      </c>
      <c r="K530" s="6">
        <f t="shared" si="17"/>
        <v>1</v>
      </c>
      <c r="L530" t="s">
        <v>49</v>
      </c>
      <c r="M530">
        <f t="shared" si="16"/>
        <v>3</v>
      </c>
      <c r="N530" t="s">
        <v>40</v>
      </c>
      <c r="O530" t="s">
        <v>103</v>
      </c>
      <c r="P530" s="2">
        <v>544</v>
      </c>
      <c r="Q530" t="s">
        <v>104</v>
      </c>
      <c r="R530" t="s">
        <v>42</v>
      </c>
      <c r="S530" t="s">
        <v>58</v>
      </c>
      <c r="T530" t="s">
        <v>59</v>
      </c>
    </row>
    <row r="531" spans="1:20" x14ac:dyDescent="0.25">
      <c r="A531" s="2">
        <v>530</v>
      </c>
      <c r="B531" s="2">
        <v>27444</v>
      </c>
      <c r="C531" t="s">
        <v>60</v>
      </c>
      <c r="D531" t="s">
        <v>66</v>
      </c>
      <c r="E531" t="s">
        <v>20</v>
      </c>
      <c r="F531" t="s">
        <v>21</v>
      </c>
      <c r="G531" t="s">
        <v>92</v>
      </c>
      <c r="H531" t="s">
        <v>46</v>
      </c>
      <c r="I531" t="s">
        <v>24</v>
      </c>
      <c r="J531" t="s">
        <v>25</v>
      </c>
      <c r="K531" s="6">
        <f t="shared" si="17"/>
        <v>2.4</v>
      </c>
      <c r="L531" t="s">
        <v>64</v>
      </c>
      <c r="M531">
        <f t="shared" si="16"/>
        <v>7</v>
      </c>
      <c r="N531" t="s">
        <v>40</v>
      </c>
      <c r="O531" t="s">
        <v>103</v>
      </c>
      <c r="P531" s="2">
        <v>398</v>
      </c>
      <c r="Q531" t="s">
        <v>104</v>
      </c>
      <c r="R531" t="s">
        <v>75</v>
      </c>
      <c r="S531" t="s">
        <v>31</v>
      </c>
      <c r="T531" t="s">
        <v>32</v>
      </c>
    </row>
    <row r="532" spans="1:20" x14ac:dyDescent="0.25">
      <c r="A532" s="2">
        <v>531</v>
      </c>
      <c r="B532" s="2">
        <v>54755</v>
      </c>
      <c r="C532" t="s">
        <v>19</v>
      </c>
      <c r="D532" t="s">
        <v>52</v>
      </c>
      <c r="E532" t="s">
        <v>79</v>
      </c>
      <c r="F532" t="s">
        <v>80</v>
      </c>
      <c r="G532" t="s">
        <v>55</v>
      </c>
      <c r="H532" t="s">
        <v>46</v>
      </c>
      <c r="I532" t="s">
        <v>38</v>
      </c>
      <c r="J532" t="s">
        <v>57</v>
      </c>
      <c r="K532" s="6">
        <f t="shared" si="17"/>
        <v>0.5</v>
      </c>
      <c r="L532" t="s">
        <v>64</v>
      </c>
      <c r="M532">
        <f t="shared" si="16"/>
        <v>7</v>
      </c>
      <c r="N532" t="s">
        <v>104</v>
      </c>
      <c r="O532" t="s">
        <v>72</v>
      </c>
      <c r="P532" s="2">
        <v>273</v>
      </c>
      <c r="Q532" t="s">
        <v>104</v>
      </c>
      <c r="R532" t="s">
        <v>68</v>
      </c>
      <c r="S532" t="s">
        <v>50</v>
      </c>
      <c r="T532" t="s">
        <v>43</v>
      </c>
    </row>
    <row r="533" spans="1:20" x14ac:dyDescent="0.25">
      <c r="A533" s="2">
        <v>532</v>
      </c>
      <c r="B533" s="2">
        <v>51915</v>
      </c>
      <c r="C533" t="s">
        <v>60</v>
      </c>
      <c r="D533" t="s">
        <v>66</v>
      </c>
      <c r="E533" t="s">
        <v>97</v>
      </c>
      <c r="F533" t="s">
        <v>62</v>
      </c>
      <c r="G533" t="s">
        <v>36</v>
      </c>
      <c r="H533" t="s">
        <v>46</v>
      </c>
      <c r="I533" t="s">
        <v>38</v>
      </c>
      <c r="J533" t="s">
        <v>57</v>
      </c>
      <c r="K533" s="6">
        <f t="shared" si="17"/>
        <v>2</v>
      </c>
      <c r="L533" t="s">
        <v>49</v>
      </c>
      <c r="M533">
        <f t="shared" si="16"/>
        <v>3</v>
      </c>
      <c r="N533" t="s">
        <v>104</v>
      </c>
      <c r="O533" t="s">
        <v>72</v>
      </c>
      <c r="P533" s="2">
        <v>470</v>
      </c>
      <c r="Q533" t="s">
        <v>74</v>
      </c>
      <c r="R533" t="s">
        <v>75</v>
      </c>
      <c r="S533" t="s">
        <v>31</v>
      </c>
      <c r="T533" t="s">
        <v>59</v>
      </c>
    </row>
    <row r="534" spans="1:20" x14ac:dyDescent="0.25">
      <c r="A534" s="2">
        <v>533</v>
      </c>
      <c r="B534" s="2">
        <v>30933</v>
      </c>
      <c r="C534" t="s">
        <v>60</v>
      </c>
      <c r="D534" t="s">
        <v>66</v>
      </c>
      <c r="E534" t="s">
        <v>87</v>
      </c>
      <c r="F534" t="s">
        <v>88</v>
      </c>
      <c r="G534" t="s">
        <v>22</v>
      </c>
      <c r="H534" t="s">
        <v>23</v>
      </c>
      <c r="I534" t="s">
        <v>24</v>
      </c>
      <c r="J534" t="s">
        <v>25</v>
      </c>
      <c r="K534" s="6">
        <f t="shared" si="17"/>
        <v>0.6</v>
      </c>
      <c r="L534" t="s">
        <v>64</v>
      </c>
      <c r="M534">
        <f t="shared" si="16"/>
        <v>7</v>
      </c>
      <c r="N534" t="s">
        <v>27</v>
      </c>
      <c r="O534" t="s">
        <v>28</v>
      </c>
      <c r="P534" s="2">
        <v>777</v>
      </c>
      <c r="Q534" t="s">
        <v>41</v>
      </c>
      <c r="R534" t="s">
        <v>68</v>
      </c>
      <c r="S534" t="s">
        <v>58</v>
      </c>
      <c r="T534" t="s">
        <v>59</v>
      </c>
    </row>
    <row r="535" spans="1:20" x14ac:dyDescent="0.25">
      <c r="A535" s="2">
        <v>534</v>
      </c>
      <c r="B535" s="2">
        <v>18504</v>
      </c>
      <c r="C535" t="s">
        <v>19</v>
      </c>
      <c r="D535" t="s">
        <v>66</v>
      </c>
      <c r="E535" t="s">
        <v>53</v>
      </c>
      <c r="F535" t="s">
        <v>54</v>
      </c>
      <c r="G535" t="s">
        <v>45</v>
      </c>
      <c r="H535" t="s">
        <v>46</v>
      </c>
      <c r="I535" t="s">
        <v>47</v>
      </c>
      <c r="J535" t="s">
        <v>39</v>
      </c>
      <c r="K535" s="6">
        <f t="shared" si="17"/>
        <v>2.5</v>
      </c>
      <c r="L535" t="s">
        <v>64</v>
      </c>
      <c r="M535">
        <f t="shared" si="16"/>
        <v>7</v>
      </c>
      <c r="N535" t="s">
        <v>104</v>
      </c>
      <c r="O535" t="s">
        <v>82</v>
      </c>
      <c r="P535" s="2">
        <v>500</v>
      </c>
      <c r="Q535" t="s">
        <v>41</v>
      </c>
      <c r="R535" t="s">
        <v>75</v>
      </c>
      <c r="S535" t="s">
        <v>50</v>
      </c>
      <c r="T535" t="s">
        <v>59</v>
      </c>
    </row>
    <row r="536" spans="1:20" x14ac:dyDescent="0.25">
      <c r="A536" s="2">
        <v>535</v>
      </c>
      <c r="B536" s="2">
        <v>46147</v>
      </c>
      <c r="C536" t="s">
        <v>33</v>
      </c>
      <c r="D536" t="s">
        <v>66</v>
      </c>
      <c r="E536" t="s">
        <v>61</v>
      </c>
      <c r="F536" t="s">
        <v>62</v>
      </c>
      <c r="G536" t="s">
        <v>78</v>
      </c>
      <c r="H536" t="s">
        <v>73</v>
      </c>
      <c r="I536" t="s">
        <v>56</v>
      </c>
      <c r="J536" t="s">
        <v>57</v>
      </c>
      <c r="K536" s="6">
        <f t="shared" si="17"/>
        <v>1.1000000000000001</v>
      </c>
      <c r="L536" t="s">
        <v>64</v>
      </c>
      <c r="M536">
        <f t="shared" si="16"/>
        <v>7</v>
      </c>
      <c r="N536" t="s">
        <v>40</v>
      </c>
      <c r="O536" t="s">
        <v>65</v>
      </c>
      <c r="P536" s="2">
        <v>1216</v>
      </c>
      <c r="Q536" t="s">
        <v>29</v>
      </c>
      <c r="R536" t="s">
        <v>42</v>
      </c>
      <c r="S536" t="s">
        <v>50</v>
      </c>
      <c r="T536" t="s">
        <v>59</v>
      </c>
    </row>
    <row r="537" spans="1:20" x14ac:dyDescent="0.25">
      <c r="A537" s="2">
        <v>536</v>
      </c>
      <c r="B537" s="2">
        <v>81854</v>
      </c>
      <c r="C537" t="s">
        <v>60</v>
      </c>
      <c r="D537" t="s">
        <v>66</v>
      </c>
      <c r="E537" t="s">
        <v>34</v>
      </c>
      <c r="F537" t="s">
        <v>35</v>
      </c>
      <c r="G537" t="s">
        <v>63</v>
      </c>
      <c r="H537" t="s">
        <v>46</v>
      </c>
      <c r="I537" t="s">
        <v>38</v>
      </c>
      <c r="J537" t="s">
        <v>57</v>
      </c>
      <c r="K537" s="6">
        <f t="shared" si="17"/>
        <v>2</v>
      </c>
      <c r="L537" t="s">
        <v>26</v>
      </c>
      <c r="M537">
        <f t="shared" si="16"/>
        <v>1</v>
      </c>
      <c r="N537" t="s">
        <v>40</v>
      </c>
      <c r="O537" t="s">
        <v>102</v>
      </c>
      <c r="P537" s="2">
        <v>496</v>
      </c>
      <c r="Q537" t="s">
        <v>29</v>
      </c>
      <c r="R537" t="s">
        <v>30</v>
      </c>
      <c r="S537" t="s">
        <v>58</v>
      </c>
      <c r="T537" t="s">
        <v>43</v>
      </c>
    </row>
    <row r="538" spans="1:20" x14ac:dyDescent="0.25">
      <c r="A538" s="2">
        <v>537</v>
      </c>
      <c r="B538" s="2">
        <v>93413</v>
      </c>
      <c r="C538" t="s">
        <v>33</v>
      </c>
      <c r="D538" t="s">
        <v>52</v>
      </c>
      <c r="E538" t="s">
        <v>44</v>
      </c>
      <c r="F538" t="s">
        <v>44</v>
      </c>
      <c r="G538" t="s">
        <v>36</v>
      </c>
      <c r="H538" t="s">
        <v>23</v>
      </c>
      <c r="I538" t="s">
        <v>47</v>
      </c>
      <c r="J538" t="s">
        <v>48</v>
      </c>
      <c r="K538" s="6">
        <f t="shared" si="17"/>
        <v>2.5</v>
      </c>
      <c r="L538" t="s">
        <v>64</v>
      </c>
      <c r="M538">
        <f t="shared" si="16"/>
        <v>7</v>
      </c>
      <c r="N538" t="s">
        <v>40</v>
      </c>
      <c r="O538" t="s">
        <v>103</v>
      </c>
      <c r="P538" s="2">
        <v>475</v>
      </c>
      <c r="Q538" t="s">
        <v>29</v>
      </c>
      <c r="R538" t="s">
        <v>30</v>
      </c>
      <c r="S538" t="s">
        <v>58</v>
      </c>
      <c r="T538" t="s">
        <v>43</v>
      </c>
    </row>
    <row r="539" spans="1:20" x14ac:dyDescent="0.25">
      <c r="A539" s="2">
        <v>538</v>
      </c>
      <c r="B539" s="2">
        <v>43977</v>
      </c>
      <c r="C539" t="s">
        <v>51</v>
      </c>
      <c r="D539" t="s">
        <v>66</v>
      </c>
      <c r="E539" t="s">
        <v>34</v>
      </c>
      <c r="F539" t="s">
        <v>35</v>
      </c>
      <c r="G539" t="s">
        <v>92</v>
      </c>
      <c r="H539" t="s">
        <v>23</v>
      </c>
      <c r="I539" t="s">
        <v>67</v>
      </c>
      <c r="J539" t="s">
        <v>57</v>
      </c>
      <c r="K539" s="6">
        <f t="shared" si="17"/>
        <v>1.1000000000000001</v>
      </c>
      <c r="L539" t="s">
        <v>64</v>
      </c>
      <c r="M539">
        <f t="shared" si="16"/>
        <v>7</v>
      </c>
      <c r="N539" t="s">
        <v>104</v>
      </c>
      <c r="O539" t="s">
        <v>28</v>
      </c>
      <c r="P539" s="2">
        <v>536</v>
      </c>
      <c r="Q539" t="s">
        <v>74</v>
      </c>
      <c r="R539" t="s">
        <v>42</v>
      </c>
      <c r="S539" t="s">
        <v>50</v>
      </c>
      <c r="T539" t="s">
        <v>43</v>
      </c>
    </row>
    <row r="540" spans="1:20" x14ac:dyDescent="0.25">
      <c r="A540" s="2">
        <v>539</v>
      </c>
      <c r="B540" s="2">
        <v>39334</v>
      </c>
      <c r="C540" t="s">
        <v>19</v>
      </c>
      <c r="D540" t="s">
        <v>66</v>
      </c>
      <c r="E540" t="s">
        <v>61</v>
      </c>
      <c r="F540" t="s">
        <v>62</v>
      </c>
      <c r="G540" t="s">
        <v>92</v>
      </c>
      <c r="H540" t="s">
        <v>23</v>
      </c>
      <c r="I540" t="s">
        <v>56</v>
      </c>
      <c r="J540" t="s">
        <v>39</v>
      </c>
      <c r="K540" s="6">
        <f t="shared" si="17"/>
        <v>2.2000000000000002</v>
      </c>
      <c r="L540" t="s">
        <v>64</v>
      </c>
      <c r="M540">
        <f t="shared" si="16"/>
        <v>7</v>
      </c>
      <c r="N540" t="s">
        <v>104</v>
      </c>
      <c r="O540" t="s">
        <v>72</v>
      </c>
      <c r="P540" s="2">
        <v>580</v>
      </c>
      <c r="Q540" t="s">
        <v>104</v>
      </c>
      <c r="R540" t="s">
        <v>30</v>
      </c>
      <c r="S540" t="s">
        <v>58</v>
      </c>
      <c r="T540" t="s">
        <v>59</v>
      </c>
    </row>
    <row r="541" spans="1:20" x14ac:dyDescent="0.25">
      <c r="A541" s="2">
        <v>540</v>
      </c>
      <c r="B541" s="2">
        <v>82677</v>
      </c>
      <c r="C541" t="s">
        <v>19</v>
      </c>
      <c r="D541" t="s">
        <v>66</v>
      </c>
      <c r="E541" t="s">
        <v>76</v>
      </c>
      <c r="F541" t="s">
        <v>77</v>
      </c>
      <c r="G541" t="s">
        <v>98</v>
      </c>
      <c r="H541" t="s">
        <v>23</v>
      </c>
      <c r="I541" t="s">
        <v>91</v>
      </c>
      <c r="J541" t="s">
        <v>57</v>
      </c>
      <c r="K541" s="6">
        <f t="shared" si="17"/>
        <v>2.2000000000000002</v>
      </c>
      <c r="L541" t="s">
        <v>49</v>
      </c>
      <c r="M541">
        <f t="shared" si="16"/>
        <v>3</v>
      </c>
      <c r="N541" t="s">
        <v>40</v>
      </c>
      <c r="O541" t="s">
        <v>103</v>
      </c>
      <c r="P541" s="2">
        <v>666</v>
      </c>
      <c r="Q541" t="s">
        <v>29</v>
      </c>
      <c r="R541" t="s">
        <v>75</v>
      </c>
      <c r="S541" t="s">
        <v>69</v>
      </c>
      <c r="T541" t="s">
        <v>43</v>
      </c>
    </row>
    <row r="542" spans="1:20" x14ac:dyDescent="0.25">
      <c r="A542" s="2">
        <v>541</v>
      </c>
      <c r="B542" s="2">
        <v>22608</v>
      </c>
      <c r="C542" t="s">
        <v>51</v>
      </c>
      <c r="D542" t="s">
        <v>52</v>
      </c>
      <c r="E542" t="s">
        <v>53</v>
      </c>
      <c r="F542" t="s">
        <v>54</v>
      </c>
      <c r="G542" t="s">
        <v>63</v>
      </c>
      <c r="H542" t="s">
        <v>37</v>
      </c>
      <c r="I542" t="s">
        <v>47</v>
      </c>
      <c r="J542" t="s">
        <v>57</v>
      </c>
      <c r="K542" s="6">
        <f t="shared" si="17"/>
        <v>2.5</v>
      </c>
      <c r="L542" t="s">
        <v>64</v>
      </c>
      <c r="M542">
        <f t="shared" si="16"/>
        <v>7</v>
      </c>
      <c r="N542" t="s">
        <v>27</v>
      </c>
      <c r="O542" t="s">
        <v>28</v>
      </c>
      <c r="P542" s="2">
        <v>2864</v>
      </c>
      <c r="Q542" t="s">
        <v>29</v>
      </c>
      <c r="R542" t="s">
        <v>30</v>
      </c>
      <c r="S542" t="s">
        <v>31</v>
      </c>
      <c r="T542" t="s">
        <v>59</v>
      </c>
    </row>
    <row r="543" spans="1:20" x14ac:dyDescent="0.25">
      <c r="A543" s="2">
        <v>542</v>
      </c>
      <c r="B543" s="2">
        <v>67884</v>
      </c>
      <c r="C543" t="s">
        <v>33</v>
      </c>
      <c r="D543" t="s">
        <v>66</v>
      </c>
      <c r="E543" t="s">
        <v>79</v>
      </c>
      <c r="F543" t="s">
        <v>80</v>
      </c>
      <c r="G543" t="s">
        <v>55</v>
      </c>
      <c r="H543" t="s">
        <v>73</v>
      </c>
      <c r="I543" t="s">
        <v>24</v>
      </c>
      <c r="J543" t="s">
        <v>25</v>
      </c>
      <c r="K543" s="6">
        <f t="shared" si="17"/>
        <v>0.6</v>
      </c>
      <c r="L543" t="s">
        <v>49</v>
      </c>
      <c r="M543">
        <f t="shared" si="16"/>
        <v>3</v>
      </c>
      <c r="N543" t="s">
        <v>104</v>
      </c>
      <c r="O543" t="s">
        <v>103</v>
      </c>
      <c r="P543" s="2">
        <v>1312</v>
      </c>
      <c r="Q543" t="s">
        <v>74</v>
      </c>
      <c r="R543" t="s">
        <v>68</v>
      </c>
      <c r="S543" t="s">
        <v>58</v>
      </c>
      <c r="T543" t="s">
        <v>43</v>
      </c>
    </row>
    <row r="544" spans="1:20" x14ac:dyDescent="0.25">
      <c r="A544" s="2">
        <v>543</v>
      </c>
      <c r="B544" s="2">
        <v>60479</v>
      </c>
      <c r="C544" t="s">
        <v>19</v>
      </c>
      <c r="D544" t="s">
        <v>52</v>
      </c>
      <c r="E544" t="s">
        <v>76</v>
      </c>
      <c r="F544" t="s">
        <v>77</v>
      </c>
      <c r="G544" t="s">
        <v>98</v>
      </c>
      <c r="H544" t="s">
        <v>46</v>
      </c>
      <c r="I544" t="s">
        <v>47</v>
      </c>
      <c r="J544" t="s">
        <v>57</v>
      </c>
      <c r="K544" s="6">
        <f t="shared" si="17"/>
        <v>2.5</v>
      </c>
      <c r="L544" t="s">
        <v>64</v>
      </c>
      <c r="M544">
        <f t="shared" si="16"/>
        <v>7</v>
      </c>
      <c r="N544" t="s">
        <v>27</v>
      </c>
      <c r="O544" t="s">
        <v>28</v>
      </c>
      <c r="P544" s="2">
        <v>387</v>
      </c>
      <c r="Q544" t="s">
        <v>29</v>
      </c>
      <c r="R544" t="s">
        <v>30</v>
      </c>
      <c r="S544" t="s">
        <v>50</v>
      </c>
      <c r="T544" t="s">
        <v>43</v>
      </c>
    </row>
    <row r="545" spans="1:20" x14ac:dyDescent="0.25">
      <c r="A545" s="2">
        <v>544</v>
      </c>
      <c r="B545" s="2">
        <v>43876</v>
      </c>
      <c r="C545" t="s">
        <v>96</v>
      </c>
      <c r="D545" t="s">
        <v>66</v>
      </c>
      <c r="E545" t="s">
        <v>79</v>
      </c>
      <c r="F545" t="s">
        <v>80</v>
      </c>
      <c r="G545" t="s">
        <v>36</v>
      </c>
      <c r="H545" t="s">
        <v>46</v>
      </c>
      <c r="I545" t="s">
        <v>24</v>
      </c>
      <c r="J545" t="s">
        <v>25</v>
      </c>
      <c r="K545" s="6">
        <f t="shared" si="17"/>
        <v>0.6</v>
      </c>
      <c r="L545" t="s">
        <v>26</v>
      </c>
      <c r="M545">
        <f t="shared" si="16"/>
        <v>1</v>
      </c>
      <c r="N545" t="s">
        <v>27</v>
      </c>
      <c r="O545" t="s">
        <v>82</v>
      </c>
      <c r="P545" s="2">
        <v>514</v>
      </c>
      <c r="Q545" t="s">
        <v>74</v>
      </c>
      <c r="R545" t="s">
        <v>68</v>
      </c>
      <c r="S545" t="s">
        <v>58</v>
      </c>
      <c r="T545" t="s">
        <v>43</v>
      </c>
    </row>
    <row r="546" spans="1:20" x14ac:dyDescent="0.25">
      <c r="A546" s="2">
        <v>545</v>
      </c>
      <c r="B546" s="2">
        <v>26505</v>
      </c>
      <c r="C546" t="s">
        <v>19</v>
      </c>
      <c r="D546" t="s">
        <v>66</v>
      </c>
      <c r="E546" t="s">
        <v>89</v>
      </c>
      <c r="F546" t="s">
        <v>90</v>
      </c>
      <c r="G546" t="s">
        <v>98</v>
      </c>
      <c r="H546" t="s">
        <v>23</v>
      </c>
      <c r="I546" t="s">
        <v>67</v>
      </c>
      <c r="J546" t="s">
        <v>39</v>
      </c>
      <c r="K546" s="6">
        <f t="shared" si="17"/>
        <v>2.2000000000000002</v>
      </c>
      <c r="L546" t="s">
        <v>64</v>
      </c>
      <c r="M546">
        <f t="shared" si="16"/>
        <v>7</v>
      </c>
      <c r="N546" t="s">
        <v>27</v>
      </c>
      <c r="O546" t="s">
        <v>103</v>
      </c>
      <c r="P546" s="2">
        <v>793</v>
      </c>
      <c r="Q546" t="s">
        <v>41</v>
      </c>
      <c r="R546" t="s">
        <v>30</v>
      </c>
      <c r="S546" t="s">
        <v>58</v>
      </c>
      <c r="T546" t="s">
        <v>59</v>
      </c>
    </row>
    <row r="547" spans="1:20" x14ac:dyDescent="0.25">
      <c r="A547" s="2">
        <v>546</v>
      </c>
      <c r="B547" s="2">
        <v>17338</v>
      </c>
      <c r="C547" t="s">
        <v>33</v>
      </c>
      <c r="D547" t="s">
        <v>66</v>
      </c>
      <c r="E547" t="s">
        <v>53</v>
      </c>
      <c r="F547" t="s">
        <v>54</v>
      </c>
      <c r="G547" t="s">
        <v>45</v>
      </c>
      <c r="H547" t="s">
        <v>71</v>
      </c>
      <c r="I547" t="s">
        <v>91</v>
      </c>
      <c r="J547" t="s">
        <v>57</v>
      </c>
      <c r="K547" s="6">
        <f t="shared" si="17"/>
        <v>1.1000000000000001</v>
      </c>
      <c r="L547" t="s">
        <v>64</v>
      </c>
      <c r="M547">
        <f t="shared" si="16"/>
        <v>7</v>
      </c>
      <c r="N547" t="s">
        <v>27</v>
      </c>
      <c r="O547" t="s">
        <v>28</v>
      </c>
      <c r="P547" s="2">
        <v>218</v>
      </c>
      <c r="Q547" t="s">
        <v>104</v>
      </c>
      <c r="R547" t="s">
        <v>42</v>
      </c>
      <c r="S547" t="s">
        <v>50</v>
      </c>
      <c r="T547" t="s">
        <v>59</v>
      </c>
    </row>
    <row r="548" spans="1:20" x14ac:dyDescent="0.25">
      <c r="A548" s="2">
        <v>547</v>
      </c>
      <c r="B548" s="2">
        <v>84108</v>
      </c>
      <c r="C548" t="s">
        <v>51</v>
      </c>
      <c r="D548" t="s">
        <v>66</v>
      </c>
      <c r="E548" t="s">
        <v>79</v>
      </c>
      <c r="F548" t="s">
        <v>80</v>
      </c>
      <c r="G548" t="s">
        <v>55</v>
      </c>
      <c r="H548" t="s">
        <v>71</v>
      </c>
      <c r="I548" t="s">
        <v>91</v>
      </c>
      <c r="J548" t="s">
        <v>25</v>
      </c>
      <c r="K548" s="6">
        <f t="shared" si="17"/>
        <v>1.1000000000000001</v>
      </c>
      <c r="L548" t="s">
        <v>64</v>
      </c>
      <c r="M548">
        <f t="shared" si="16"/>
        <v>7</v>
      </c>
      <c r="N548" t="s">
        <v>27</v>
      </c>
      <c r="O548" t="s">
        <v>65</v>
      </c>
      <c r="P548" s="2">
        <v>390</v>
      </c>
      <c r="Q548" t="s">
        <v>29</v>
      </c>
      <c r="R548" t="s">
        <v>42</v>
      </c>
      <c r="S548" t="s">
        <v>31</v>
      </c>
      <c r="T548" t="s">
        <v>43</v>
      </c>
    </row>
    <row r="549" spans="1:20" x14ac:dyDescent="0.25">
      <c r="A549" s="2">
        <v>548</v>
      </c>
      <c r="B549" s="2">
        <v>69962</v>
      </c>
      <c r="C549" t="s">
        <v>51</v>
      </c>
      <c r="D549" t="s">
        <v>52</v>
      </c>
      <c r="E549" t="s">
        <v>20</v>
      </c>
      <c r="F549" t="s">
        <v>21</v>
      </c>
      <c r="G549" t="s">
        <v>55</v>
      </c>
      <c r="H549" t="s">
        <v>46</v>
      </c>
      <c r="I549" t="s">
        <v>38</v>
      </c>
      <c r="J549" t="s">
        <v>57</v>
      </c>
      <c r="K549" s="6">
        <f t="shared" si="17"/>
        <v>1</v>
      </c>
      <c r="L549" t="s">
        <v>64</v>
      </c>
      <c r="M549">
        <f t="shared" si="16"/>
        <v>7</v>
      </c>
      <c r="N549" t="s">
        <v>40</v>
      </c>
      <c r="O549" t="s">
        <v>82</v>
      </c>
      <c r="P549" s="2">
        <v>271</v>
      </c>
      <c r="Q549" t="s">
        <v>104</v>
      </c>
      <c r="R549" t="s">
        <v>42</v>
      </c>
      <c r="S549" t="s">
        <v>58</v>
      </c>
      <c r="T549" t="s">
        <v>32</v>
      </c>
    </row>
    <row r="550" spans="1:20" x14ac:dyDescent="0.25">
      <c r="A550" s="2">
        <v>549</v>
      </c>
      <c r="B550" s="2">
        <v>72145</v>
      </c>
      <c r="C550" t="s">
        <v>60</v>
      </c>
      <c r="D550" t="s">
        <v>52</v>
      </c>
      <c r="E550" t="s">
        <v>34</v>
      </c>
      <c r="F550" t="s">
        <v>35</v>
      </c>
      <c r="G550" t="s">
        <v>36</v>
      </c>
      <c r="H550" t="s">
        <v>71</v>
      </c>
      <c r="I550" t="s">
        <v>94</v>
      </c>
      <c r="J550" t="s">
        <v>25</v>
      </c>
      <c r="K550" s="6">
        <f t="shared" si="17"/>
        <v>1.5</v>
      </c>
      <c r="L550" t="s">
        <v>64</v>
      </c>
      <c r="M550">
        <f t="shared" si="16"/>
        <v>7</v>
      </c>
      <c r="N550" t="s">
        <v>27</v>
      </c>
      <c r="O550" t="s">
        <v>103</v>
      </c>
      <c r="P550" s="2">
        <v>238</v>
      </c>
      <c r="Q550" t="s">
        <v>104</v>
      </c>
      <c r="R550" t="s">
        <v>30</v>
      </c>
      <c r="S550" t="s">
        <v>69</v>
      </c>
      <c r="T550" t="s">
        <v>43</v>
      </c>
    </row>
    <row r="551" spans="1:20" x14ac:dyDescent="0.25">
      <c r="A551" s="2">
        <v>550</v>
      </c>
      <c r="B551" s="2">
        <v>95289</v>
      </c>
      <c r="C551" t="s">
        <v>60</v>
      </c>
      <c r="D551" t="s">
        <v>52</v>
      </c>
      <c r="E551" t="s">
        <v>99</v>
      </c>
      <c r="F551" t="s">
        <v>100</v>
      </c>
      <c r="G551" t="s">
        <v>22</v>
      </c>
      <c r="H551" t="s">
        <v>46</v>
      </c>
      <c r="I551" t="s">
        <v>56</v>
      </c>
      <c r="J551" t="s">
        <v>48</v>
      </c>
      <c r="K551" s="6">
        <f t="shared" si="17"/>
        <v>2.2000000000000002</v>
      </c>
      <c r="L551" t="s">
        <v>64</v>
      </c>
      <c r="M551">
        <f t="shared" si="16"/>
        <v>7</v>
      </c>
      <c r="N551" t="s">
        <v>27</v>
      </c>
      <c r="O551" t="s">
        <v>28</v>
      </c>
      <c r="P551" s="2">
        <v>291</v>
      </c>
      <c r="Q551" t="s">
        <v>29</v>
      </c>
      <c r="R551" t="s">
        <v>75</v>
      </c>
      <c r="S551" t="s">
        <v>31</v>
      </c>
      <c r="T551" t="s">
        <v>32</v>
      </c>
    </row>
    <row r="552" spans="1:20" x14ac:dyDescent="0.25">
      <c r="A552" s="2">
        <v>551</v>
      </c>
      <c r="B552" s="2">
        <v>54297</v>
      </c>
      <c r="C552" t="s">
        <v>33</v>
      </c>
      <c r="D552" t="s">
        <v>66</v>
      </c>
      <c r="E552" t="s">
        <v>34</v>
      </c>
      <c r="F552" t="s">
        <v>35</v>
      </c>
      <c r="G552" t="s">
        <v>70</v>
      </c>
      <c r="H552" t="s">
        <v>73</v>
      </c>
      <c r="I552" t="s">
        <v>47</v>
      </c>
      <c r="J552" t="s">
        <v>48</v>
      </c>
      <c r="K552" s="6">
        <f t="shared" si="17"/>
        <v>1.25</v>
      </c>
      <c r="L552" t="s">
        <v>64</v>
      </c>
      <c r="M552">
        <f t="shared" si="16"/>
        <v>7</v>
      </c>
      <c r="N552" t="s">
        <v>40</v>
      </c>
      <c r="O552" t="s">
        <v>103</v>
      </c>
      <c r="P552" s="2">
        <v>1235</v>
      </c>
      <c r="Q552" t="s">
        <v>104</v>
      </c>
      <c r="R552" t="s">
        <v>42</v>
      </c>
      <c r="S552" t="s">
        <v>69</v>
      </c>
      <c r="T552" t="s">
        <v>43</v>
      </c>
    </row>
    <row r="553" spans="1:20" x14ac:dyDescent="0.25">
      <c r="A553" s="2">
        <v>552</v>
      </c>
      <c r="B553" s="2">
        <v>99658</v>
      </c>
      <c r="C553" t="s">
        <v>33</v>
      </c>
      <c r="D553" t="s">
        <v>52</v>
      </c>
      <c r="E553" t="s">
        <v>79</v>
      </c>
      <c r="F553" t="s">
        <v>80</v>
      </c>
      <c r="G553" t="s">
        <v>55</v>
      </c>
      <c r="H553" t="s">
        <v>73</v>
      </c>
      <c r="I553" t="s">
        <v>83</v>
      </c>
      <c r="J553" t="s">
        <v>57</v>
      </c>
      <c r="K553" s="6">
        <f t="shared" si="17"/>
        <v>2.2000000000000002</v>
      </c>
      <c r="L553" t="s">
        <v>64</v>
      </c>
      <c r="M553">
        <f t="shared" si="16"/>
        <v>7</v>
      </c>
      <c r="N553" t="s">
        <v>104</v>
      </c>
      <c r="O553" t="s">
        <v>28</v>
      </c>
      <c r="P553" s="2">
        <v>1323</v>
      </c>
      <c r="Q553" t="s">
        <v>104</v>
      </c>
      <c r="R553" t="s">
        <v>75</v>
      </c>
      <c r="S553" t="s">
        <v>69</v>
      </c>
      <c r="T553" t="s">
        <v>43</v>
      </c>
    </row>
    <row r="554" spans="1:20" x14ac:dyDescent="0.25">
      <c r="A554" s="2">
        <v>553</v>
      </c>
      <c r="B554" s="2">
        <v>16793</v>
      </c>
      <c r="C554" t="s">
        <v>51</v>
      </c>
      <c r="D554" t="s">
        <v>66</v>
      </c>
      <c r="E554" t="s">
        <v>87</v>
      </c>
      <c r="F554" t="s">
        <v>88</v>
      </c>
      <c r="G554" t="s">
        <v>55</v>
      </c>
      <c r="H554" t="s">
        <v>23</v>
      </c>
      <c r="I554" t="s">
        <v>24</v>
      </c>
      <c r="J554" t="s">
        <v>25</v>
      </c>
      <c r="K554" s="6">
        <f t="shared" si="17"/>
        <v>2.4</v>
      </c>
      <c r="L554" t="s">
        <v>64</v>
      </c>
      <c r="M554">
        <f t="shared" si="16"/>
        <v>7</v>
      </c>
      <c r="N554" t="s">
        <v>104</v>
      </c>
      <c r="O554" t="s">
        <v>103</v>
      </c>
      <c r="P554" s="2">
        <v>823</v>
      </c>
      <c r="Q554" t="s">
        <v>74</v>
      </c>
      <c r="R554" t="s">
        <v>30</v>
      </c>
      <c r="S554" t="s">
        <v>69</v>
      </c>
      <c r="T554" t="s">
        <v>59</v>
      </c>
    </row>
    <row r="555" spans="1:20" x14ac:dyDescent="0.25">
      <c r="A555" s="2">
        <v>554</v>
      </c>
      <c r="B555" s="2">
        <v>40759</v>
      </c>
      <c r="C555" t="s">
        <v>19</v>
      </c>
      <c r="D555" t="s">
        <v>66</v>
      </c>
      <c r="E555" t="s">
        <v>87</v>
      </c>
      <c r="F555" t="s">
        <v>88</v>
      </c>
      <c r="G555" t="s">
        <v>78</v>
      </c>
      <c r="H555" t="s">
        <v>71</v>
      </c>
      <c r="I555" t="s">
        <v>24</v>
      </c>
      <c r="J555" t="s">
        <v>25</v>
      </c>
      <c r="K555" s="6">
        <f t="shared" si="17"/>
        <v>2.4</v>
      </c>
      <c r="L555" t="s">
        <v>64</v>
      </c>
      <c r="M555">
        <f t="shared" si="16"/>
        <v>7</v>
      </c>
      <c r="N555" t="s">
        <v>104</v>
      </c>
      <c r="O555" t="s">
        <v>28</v>
      </c>
      <c r="P555" s="2">
        <v>313</v>
      </c>
      <c r="Q555" t="s">
        <v>29</v>
      </c>
      <c r="R555" t="s">
        <v>75</v>
      </c>
      <c r="S555" t="s">
        <v>58</v>
      </c>
      <c r="T555" t="s">
        <v>59</v>
      </c>
    </row>
    <row r="556" spans="1:20" x14ac:dyDescent="0.25">
      <c r="A556" s="2">
        <v>555</v>
      </c>
      <c r="B556" s="2">
        <v>40234</v>
      </c>
      <c r="C556" t="s">
        <v>51</v>
      </c>
      <c r="D556" t="s">
        <v>66</v>
      </c>
      <c r="E556" t="s">
        <v>79</v>
      </c>
      <c r="F556" t="s">
        <v>80</v>
      </c>
      <c r="G556" t="s">
        <v>55</v>
      </c>
      <c r="H556" t="s">
        <v>23</v>
      </c>
      <c r="I556" t="s">
        <v>56</v>
      </c>
      <c r="J556" t="s">
        <v>25</v>
      </c>
      <c r="K556" s="6">
        <f t="shared" si="17"/>
        <v>0.55000000000000004</v>
      </c>
      <c r="L556" t="s">
        <v>64</v>
      </c>
      <c r="M556">
        <f t="shared" si="16"/>
        <v>7</v>
      </c>
      <c r="N556" t="s">
        <v>40</v>
      </c>
      <c r="O556" t="s">
        <v>103</v>
      </c>
      <c r="P556" s="2">
        <v>592</v>
      </c>
      <c r="Q556" t="s">
        <v>29</v>
      </c>
      <c r="R556" t="s">
        <v>68</v>
      </c>
      <c r="S556" t="s">
        <v>31</v>
      </c>
      <c r="T556" t="s">
        <v>43</v>
      </c>
    </row>
    <row r="557" spans="1:20" x14ac:dyDescent="0.25">
      <c r="A557" s="2">
        <v>556</v>
      </c>
      <c r="B557" s="2">
        <v>85720</v>
      </c>
      <c r="C557" t="s">
        <v>60</v>
      </c>
      <c r="D557" t="s">
        <v>66</v>
      </c>
      <c r="E557" t="s">
        <v>84</v>
      </c>
      <c r="F557" t="s">
        <v>85</v>
      </c>
      <c r="G557" t="s">
        <v>36</v>
      </c>
      <c r="H557" t="s">
        <v>23</v>
      </c>
      <c r="I557" t="s">
        <v>94</v>
      </c>
      <c r="J557" t="s">
        <v>57</v>
      </c>
      <c r="K557" s="6">
        <f t="shared" si="17"/>
        <v>0.375</v>
      </c>
      <c r="L557" t="s">
        <v>64</v>
      </c>
      <c r="M557">
        <f t="shared" si="16"/>
        <v>7</v>
      </c>
      <c r="N557" t="s">
        <v>27</v>
      </c>
      <c r="O557" t="s">
        <v>82</v>
      </c>
      <c r="P557" s="2">
        <v>533</v>
      </c>
      <c r="Q557" t="s">
        <v>29</v>
      </c>
      <c r="R557" t="s">
        <v>68</v>
      </c>
      <c r="S557" t="s">
        <v>69</v>
      </c>
      <c r="T557" t="s">
        <v>32</v>
      </c>
    </row>
    <row r="558" spans="1:20" x14ac:dyDescent="0.25">
      <c r="A558" s="2">
        <v>557</v>
      </c>
      <c r="B558" s="2">
        <v>96447</v>
      </c>
      <c r="C558" t="s">
        <v>33</v>
      </c>
      <c r="D558" t="s">
        <v>66</v>
      </c>
      <c r="E558" t="s">
        <v>89</v>
      </c>
      <c r="F558" t="s">
        <v>90</v>
      </c>
      <c r="G558" t="s">
        <v>36</v>
      </c>
      <c r="H558" t="s">
        <v>37</v>
      </c>
      <c r="I558" t="s">
        <v>38</v>
      </c>
      <c r="J558" t="s">
        <v>86</v>
      </c>
      <c r="K558" s="6">
        <f t="shared" si="17"/>
        <v>2</v>
      </c>
      <c r="L558" t="s">
        <v>64</v>
      </c>
      <c r="M558">
        <f t="shared" si="16"/>
        <v>7</v>
      </c>
      <c r="N558" t="s">
        <v>104</v>
      </c>
      <c r="O558" t="s">
        <v>103</v>
      </c>
      <c r="P558" s="2">
        <v>2192</v>
      </c>
      <c r="Q558" t="s">
        <v>104</v>
      </c>
      <c r="R558" t="s">
        <v>30</v>
      </c>
      <c r="S558" t="s">
        <v>69</v>
      </c>
      <c r="T558" t="s">
        <v>59</v>
      </c>
    </row>
    <row r="559" spans="1:20" x14ac:dyDescent="0.25">
      <c r="A559" s="2">
        <v>558</v>
      </c>
      <c r="B559" s="2">
        <v>94325</v>
      </c>
      <c r="C559" t="s">
        <v>19</v>
      </c>
      <c r="D559" t="s">
        <v>66</v>
      </c>
      <c r="E559" t="s">
        <v>84</v>
      </c>
      <c r="F559" t="s">
        <v>85</v>
      </c>
      <c r="G559" t="s">
        <v>81</v>
      </c>
      <c r="H559" t="s">
        <v>23</v>
      </c>
      <c r="I559" t="s">
        <v>56</v>
      </c>
      <c r="J559" t="s">
        <v>57</v>
      </c>
      <c r="K559" s="6">
        <f t="shared" si="17"/>
        <v>1.1000000000000001</v>
      </c>
      <c r="L559" t="s">
        <v>49</v>
      </c>
      <c r="M559">
        <f t="shared" si="16"/>
        <v>3</v>
      </c>
      <c r="N559" t="s">
        <v>104</v>
      </c>
      <c r="O559" t="s">
        <v>103</v>
      </c>
      <c r="P559" s="2">
        <v>487</v>
      </c>
      <c r="Q559" t="s">
        <v>74</v>
      </c>
      <c r="R559" t="s">
        <v>42</v>
      </c>
      <c r="S559" t="s">
        <v>50</v>
      </c>
      <c r="T559" t="s">
        <v>32</v>
      </c>
    </row>
    <row r="560" spans="1:20" x14ac:dyDescent="0.25">
      <c r="A560" s="2">
        <v>559</v>
      </c>
      <c r="B560" s="2">
        <v>36889</v>
      </c>
      <c r="C560" t="s">
        <v>60</v>
      </c>
      <c r="D560" t="s">
        <v>52</v>
      </c>
      <c r="E560" t="s">
        <v>87</v>
      </c>
      <c r="F560" t="s">
        <v>88</v>
      </c>
      <c r="G560" t="s">
        <v>78</v>
      </c>
      <c r="H560" t="s">
        <v>23</v>
      </c>
      <c r="I560" t="s">
        <v>24</v>
      </c>
      <c r="J560" t="s">
        <v>25</v>
      </c>
      <c r="K560" s="6">
        <f t="shared" si="17"/>
        <v>0.6</v>
      </c>
      <c r="L560" t="s">
        <v>26</v>
      </c>
      <c r="M560">
        <f t="shared" si="16"/>
        <v>1</v>
      </c>
      <c r="N560" t="s">
        <v>27</v>
      </c>
      <c r="O560" t="s">
        <v>72</v>
      </c>
      <c r="P560" s="2">
        <v>858</v>
      </c>
      <c r="Q560" t="s">
        <v>29</v>
      </c>
      <c r="R560" t="s">
        <v>68</v>
      </c>
      <c r="S560" t="s">
        <v>31</v>
      </c>
      <c r="T560" t="s">
        <v>59</v>
      </c>
    </row>
    <row r="561" spans="1:20" x14ac:dyDescent="0.25">
      <c r="A561" s="2">
        <v>560</v>
      </c>
      <c r="B561" s="2">
        <v>25054</v>
      </c>
      <c r="C561" t="s">
        <v>51</v>
      </c>
      <c r="D561" t="s">
        <v>52</v>
      </c>
      <c r="E561" t="s">
        <v>84</v>
      </c>
      <c r="F561" t="s">
        <v>85</v>
      </c>
      <c r="G561" t="s">
        <v>92</v>
      </c>
      <c r="H561" t="s">
        <v>46</v>
      </c>
      <c r="I561" t="s">
        <v>47</v>
      </c>
      <c r="J561" t="s">
        <v>57</v>
      </c>
      <c r="K561" s="6">
        <f t="shared" si="17"/>
        <v>1.25</v>
      </c>
      <c r="L561" t="s">
        <v>64</v>
      </c>
      <c r="M561">
        <f t="shared" si="16"/>
        <v>7</v>
      </c>
      <c r="N561" t="s">
        <v>40</v>
      </c>
      <c r="O561" t="s">
        <v>103</v>
      </c>
      <c r="P561" s="2">
        <v>269</v>
      </c>
      <c r="Q561" t="s">
        <v>29</v>
      </c>
      <c r="R561" t="s">
        <v>42</v>
      </c>
      <c r="S561" t="s">
        <v>69</v>
      </c>
      <c r="T561" t="s">
        <v>32</v>
      </c>
    </row>
    <row r="562" spans="1:20" x14ac:dyDescent="0.25">
      <c r="A562" s="2">
        <v>561</v>
      </c>
      <c r="B562" s="2">
        <v>48884</v>
      </c>
      <c r="C562" t="s">
        <v>19</v>
      </c>
      <c r="D562" t="s">
        <v>66</v>
      </c>
      <c r="E562" t="s">
        <v>87</v>
      </c>
      <c r="F562" t="s">
        <v>88</v>
      </c>
      <c r="G562" t="s">
        <v>45</v>
      </c>
      <c r="H562" t="s">
        <v>46</v>
      </c>
      <c r="I562" t="s">
        <v>83</v>
      </c>
      <c r="J562" t="s">
        <v>48</v>
      </c>
      <c r="K562" s="6">
        <f t="shared" si="17"/>
        <v>2.2000000000000002</v>
      </c>
      <c r="L562" t="s">
        <v>64</v>
      </c>
      <c r="M562">
        <f t="shared" si="16"/>
        <v>7</v>
      </c>
      <c r="N562" t="s">
        <v>40</v>
      </c>
      <c r="O562" t="s">
        <v>65</v>
      </c>
      <c r="P562" s="2">
        <v>456</v>
      </c>
      <c r="Q562" t="s">
        <v>29</v>
      </c>
      <c r="R562" t="s">
        <v>30</v>
      </c>
      <c r="S562" t="s">
        <v>58</v>
      </c>
      <c r="T562" t="s">
        <v>59</v>
      </c>
    </row>
    <row r="563" spans="1:20" x14ac:dyDescent="0.25">
      <c r="A563" s="2">
        <v>562</v>
      </c>
      <c r="B563" s="2">
        <v>37120</v>
      </c>
      <c r="C563" t="s">
        <v>19</v>
      </c>
      <c r="D563" t="s">
        <v>52</v>
      </c>
      <c r="E563" t="s">
        <v>61</v>
      </c>
      <c r="F563" t="s">
        <v>62</v>
      </c>
      <c r="G563" t="s">
        <v>92</v>
      </c>
      <c r="H563" t="s">
        <v>71</v>
      </c>
      <c r="I563" t="s">
        <v>38</v>
      </c>
      <c r="J563" t="s">
        <v>57</v>
      </c>
      <c r="K563" s="6">
        <f t="shared" si="17"/>
        <v>1</v>
      </c>
      <c r="L563" t="s">
        <v>64</v>
      </c>
      <c r="M563">
        <f t="shared" si="16"/>
        <v>7</v>
      </c>
      <c r="N563" t="s">
        <v>40</v>
      </c>
      <c r="O563" t="s">
        <v>82</v>
      </c>
      <c r="P563" s="2">
        <v>291</v>
      </c>
      <c r="Q563" t="s">
        <v>74</v>
      </c>
      <c r="R563" t="s">
        <v>42</v>
      </c>
      <c r="S563" t="s">
        <v>58</v>
      </c>
      <c r="T563" t="s">
        <v>59</v>
      </c>
    </row>
    <row r="564" spans="1:20" x14ac:dyDescent="0.25">
      <c r="A564" s="2">
        <v>563</v>
      </c>
      <c r="B564" s="2">
        <v>15158</v>
      </c>
      <c r="C564" t="s">
        <v>33</v>
      </c>
      <c r="D564" t="s">
        <v>52</v>
      </c>
      <c r="E564" t="s">
        <v>84</v>
      </c>
      <c r="F564" t="s">
        <v>85</v>
      </c>
      <c r="G564" t="s">
        <v>98</v>
      </c>
      <c r="H564" t="s">
        <v>73</v>
      </c>
      <c r="I564" t="s">
        <v>47</v>
      </c>
      <c r="J564" t="s">
        <v>48</v>
      </c>
      <c r="K564" s="6">
        <f t="shared" si="17"/>
        <v>2.5</v>
      </c>
      <c r="L564" t="s">
        <v>64</v>
      </c>
      <c r="M564">
        <f t="shared" si="16"/>
        <v>7</v>
      </c>
      <c r="N564" t="s">
        <v>40</v>
      </c>
      <c r="O564" t="s">
        <v>103</v>
      </c>
      <c r="P564" s="2">
        <v>1385</v>
      </c>
      <c r="Q564" t="s">
        <v>104</v>
      </c>
      <c r="R564" t="s">
        <v>30</v>
      </c>
      <c r="S564" t="s">
        <v>58</v>
      </c>
      <c r="T564" t="s">
        <v>32</v>
      </c>
    </row>
    <row r="565" spans="1:20" x14ac:dyDescent="0.25">
      <c r="A565" s="2">
        <v>564</v>
      </c>
      <c r="B565" s="2">
        <v>67083</v>
      </c>
      <c r="C565" t="s">
        <v>51</v>
      </c>
      <c r="D565" t="s">
        <v>66</v>
      </c>
      <c r="E565" t="s">
        <v>79</v>
      </c>
      <c r="F565" t="s">
        <v>80</v>
      </c>
      <c r="G565" t="s">
        <v>98</v>
      </c>
      <c r="H565" t="s">
        <v>46</v>
      </c>
      <c r="I565" t="s">
        <v>94</v>
      </c>
      <c r="J565" t="s">
        <v>57</v>
      </c>
      <c r="K565" s="6">
        <f t="shared" si="17"/>
        <v>0.375</v>
      </c>
      <c r="L565" t="s">
        <v>64</v>
      </c>
      <c r="M565">
        <f t="shared" si="16"/>
        <v>7</v>
      </c>
      <c r="N565" t="s">
        <v>104</v>
      </c>
      <c r="O565" t="s">
        <v>28</v>
      </c>
      <c r="P565" s="2">
        <v>325</v>
      </c>
      <c r="Q565" t="s">
        <v>74</v>
      </c>
      <c r="R565" t="s">
        <v>68</v>
      </c>
      <c r="S565" t="s">
        <v>69</v>
      </c>
      <c r="T565" t="s">
        <v>43</v>
      </c>
    </row>
    <row r="566" spans="1:20" x14ac:dyDescent="0.25">
      <c r="A566" s="2">
        <v>565</v>
      </c>
      <c r="B566" s="2">
        <v>32754</v>
      </c>
      <c r="C566" t="s">
        <v>19</v>
      </c>
      <c r="D566" t="s">
        <v>52</v>
      </c>
      <c r="E566" t="s">
        <v>97</v>
      </c>
      <c r="F566" t="s">
        <v>62</v>
      </c>
      <c r="G566" t="s">
        <v>81</v>
      </c>
      <c r="H566" t="s">
        <v>73</v>
      </c>
      <c r="I566" t="s">
        <v>56</v>
      </c>
      <c r="J566" t="s">
        <v>57</v>
      </c>
      <c r="K566" s="6">
        <f t="shared" si="17"/>
        <v>2.2000000000000002</v>
      </c>
      <c r="L566" t="s">
        <v>64</v>
      </c>
      <c r="M566">
        <f t="shared" si="16"/>
        <v>7</v>
      </c>
      <c r="N566" t="s">
        <v>40</v>
      </c>
      <c r="O566" t="s">
        <v>72</v>
      </c>
      <c r="P566" s="2">
        <v>1476</v>
      </c>
      <c r="Q566" t="s">
        <v>104</v>
      </c>
      <c r="R566" t="s">
        <v>30</v>
      </c>
      <c r="S566" t="s">
        <v>31</v>
      </c>
      <c r="T566" t="s">
        <v>59</v>
      </c>
    </row>
    <row r="567" spans="1:20" x14ac:dyDescent="0.25">
      <c r="A567" s="2">
        <v>566</v>
      </c>
      <c r="B567" s="2">
        <v>95167</v>
      </c>
      <c r="C567" t="s">
        <v>51</v>
      </c>
      <c r="D567" t="s">
        <v>66</v>
      </c>
      <c r="E567" t="s">
        <v>99</v>
      </c>
      <c r="F567" t="s">
        <v>100</v>
      </c>
      <c r="G567" t="s">
        <v>36</v>
      </c>
      <c r="H567" t="s">
        <v>23</v>
      </c>
      <c r="I567" t="s">
        <v>56</v>
      </c>
      <c r="J567" t="s">
        <v>57</v>
      </c>
      <c r="K567" s="6">
        <f t="shared" si="17"/>
        <v>2.2000000000000002</v>
      </c>
      <c r="L567" t="s">
        <v>64</v>
      </c>
      <c r="M567">
        <f t="shared" si="16"/>
        <v>7</v>
      </c>
      <c r="N567" t="s">
        <v>104</v>
      </c>
      <c r="O567" t="s">
        <v>65</v>
      </c>
      <c r="P567" s="2">
        <v>659</v>
      </c>
      <c r="Q567" t="s">
        <v>74</v>
      </c>
      <c r="R567" t="s">
        <v>75</v>
      </c>
      <c r="S567" t="s">
        <v>31</v>
      </c>
      <c r="T567" t="s">
        <v>32</v>
      </c>
    </row>
    <row r="568" spans="1:20" x14ac:dyDescent="0.25">
      <c r="A568" s="2">
        <v>567</v>
      </c>
      <c r="B568" s="2">
        <v>28567</v>
      </c>
      <c r="C568" t="s">
        <v>19</v>
      </c>
      <c r="D568" t="s">
        <v>52</v>
      </c>
      <c r="E568" t="s">
        <v>101</v>
      </c>
      <c r="F568" t="s">
        <v>80</v>
      </c>
      <c r="G568" t="s">
        <v>70</v>
      </c>
      <c r="H568" t="s">
        <v>46</v>
      </c>
      <c r="I568" t="s">
        <v>24</v>
      </c>
      <c r="J568" t="s">
        <v>25</v>
      </c>
      <c r="K568" s="6">
        <f t="shared" si="17"/>
        <v>2.4</v>
      </c>
      <c r="L568" t="s">
        <v>64</v>
      </c>
      <c r="M568">
        <f t="shared" si="16"/>
        <v>7</v>
      </c>
      <c r="N568" t="s">
        <v>27</v>
      </c>
      <c r="O568" t="s">
        <v>65</v>
      </c>
      <c r="P568" s="2">
        <v>443</v>
      </c>
      <c r="Q568" t="s">
        <v>29</v>
      </c>
      <c r="R568" t="s">
        <v>30</v>
      </c>
      <c r="S568" t="s">
        <v>69</v>
      </c>
      <c r="T568" t="s">
        <v>32</v>
      </c>
    </row>
    <row r="569" spans="1:20" x14ac:dyDescent="0.25">
      <c r="A569" s="2">
        <v>568</v>
      </c>
      <c r="B569" s="2">
        <v>40035</v>
      </c>
      <c r="C569" t="s">
        <v>51</v>
      </c>
      <c r="D569" t="s">
        <v>52</v>
      </c>
      <c r="E569" t="s">
        <v>61</v>
      </c>
      <c r="F569" t="s">
        <v>62</v>
      </c>
      <c r="G569" t="s">
        <v>98</v>
      </c>
      <c r="H569" t="s">
        <v>37</v>
      </c>
      <c r="I569" t="s">
        <v>24</v>
      </c>
      <c r="J569" t="s">
        <v>25</v>
      </c>
      <c r="K569" s="6">
        <f t="shared" si="17"/>
        <v>1.2</v>
      </c>
      <c r="L569" t="s">
        <v>64</v>
      </c>
      <c r="M569">
        <f t="shared" si="16"/>
        <v>7</v>
      </c>
      <c r="N569" t="s">
        <v>40</v>
      </c>
      <c r="O569" t="s">
        <v>103</v>
      </c>
      <c r="P569" s="2">
        <v>2058</v>
      </c>
      <c r="Q569" t="s">
        <v>29</v>
      </c>
      <c r="R569" t="s">
        <v>42</v>
      </c>
      <c r="S569" t="s">
        <v>31</v>
      </c>
      <c r="T569" t="s">
        <v>59</v>
      </c>
    </row>
    <row r="570" spans="1:20" x14ac:dyDescent="0.25">
      <c r="A570" s="2">
        <v>569</v>
      </c>
      <c r="B570" s="2">
        <v>54867</v>
      </c>
      <c r="C570" t="s">
        <v>19</v>
      </c>
      <c r="D570" t="s">
        <v>52</v>
      </c>
      <c r="E570" t="s">
        <v>34</v>
      </c>
      <c r="F570" t="s">
        <v>35</v>
      </c>
      <c r="G570" t="s">
        <v>78</v>
      </c>
      <c r="H570" t="s">
        <v>46</v>
      </c>
      <c r="I570" t="s">
        <v>47</v>
      </c>
      <c r="J570" t="s">
        <v>57</v>
      </c>
      <c r="K570" s="6">
        <f t="shared" si="17"/>
        <v>0.625</v>
      </c>
      <c r="L570" t="s">
        <v>64</v>
      </c>
      <c r="M570">
        <f t="shared" si="16"/>
        <v>7</v>
      </c>
      <c r="N570" t="s">
        <v>27</v>
      </c>
      <c r="O570" t="s">
        <v>103</v>
      </c>
      <c r="P570" s="2">
        <v>252</v>
      </c>
      <c r="Q570" t="s">
        <v>104</v>
      </c>
      <c r="R570" t="s">
        <v>68</v>
      </c>
      <c r="S570" t="s">
        <v>58</v>
      </c>
      <c r="T570" t="s">
        <v>43</v>
      </c>
    </row>
    <row r="571" spans="1:20" x14ac:dyDescent="0.25">
      <c r="A571" s="2">
        <v>570</v>
      </c>
      <c r="B571" s="2">
        <v>86040</v>
      </c>
      <c r="C571" t="s">
        <v>60</v>
      </c>
      <c r="D571" t="s">
        <v>66</v>
      </c>
      <c r="E571" t="s">
        <v>79</v>
      </c>
      <c r="F571" t="s">
        <v>80</v>
      </c>
      <c r="G571" t="s">
        <v>63</v>
      </c>
      <c r="H571" t="s">
        <v>71</v>
      </c>
      <c r="I571" t="s">
        <v>94</v>
      </c>
      <c r="J571" t="s">
        <v>86</v>
      </c>
      <c r="K571" s="6">
        <f t="shared" si="17"/>
        <v>0.75</v>
      </c>
      <c r="L571" t="s">
        <v>64</v>
      </c>
      <c r="M571">
        <f t="shared" si="16"/>
        <v>7</v>
      </c>
      <c r="N571" t="s">
        <v>27</v>
      </c>
      <c r="O571" t="s">
        <v>103</v>
      </c>
      <c r="P571" s="2">
        <v>197</v>
      </c>
      <c r="Q571" t="s">
        <v>74</v>
      </c>
      <c r="R571" t="s">
        <v>42</v>
      </c>
      <c r="S571" t="s">
        <v>69</v>
      </c>
      <c r="T571" t="s">
        <v>43</v>
      </c>
    </row>
    <row r="572" spans="1:20" x14ac:dyDescent="0.25">
      <c r="A572" s="2">
        <v>571</v>
      </c>
      <c r="B572" s="2">
        <v>30790</v>
      </c>
      <c r="C572" t="s">
        <v>33</v>
      </c>
      <c r="D572" t="s">
        <v>66</v>
      </c>
      <c r="E572" t="s">
        <v>87</v>
      </c>
      <c r="F572" t="s">
        <v>88</v>
      </c>
      <c r="G572" t="s">
        <v>92</v>
      </c>
      <c r="H572" t="s">
        <v>23</v>
      </c>
      <c r="I572" t="s">
        <v>91</v>
      </c>
      <c r="J572" t="s">
        <v>57</v>
      </c>
      <c r="K572" s="6">
        <f t="shared" si="17"/>
        <v>2.2000000000000002</v>
      </c>
      <c r="L572" t="s">
        <v>49</v>
      </c>
      <c r="M572">
        <f t="shared" si="16"/>
        <v>3</v>
      </c>
      <c r="N572" t="s">
        <v>40</v>
      </c>
      <c r="O572" t="s">
        <v>28</v>
      </c>
      <c r="P572" s="2">
        <v>826</v>
      </c>
      <c r="Q572" t="s">
        <v>104</v>
      </c>
      <c r="R572" t="s">
        <v>75</v>
      </c>
      <c r="S572" t="s">
        <v>58</v>
      </c>
      <c r="T572" t="s">
        <v>59</v>
      </c>
    </row>
    <row r="573" spans="1:20" x14ac:dyDescent="0.25">
      <c r="A573" s="2">
        <v>572</v>
      </c>
      <c r="B573" s="2">
        <v>15162</v>
      </c>
      <c r="C573" t="s">
        <v>51</v>
      </c>
      <c r="D573" t="s">
        <v>66</v>
      </c>
      <c r="E573" t="s">
        <v>99</v>
      </c>
      <c r="F573" t="s">
        <v>100</v>
      </c>
      <c r="G573" t="s">
        <v>22</v>
      </c>
      <c r="H573" t="s">
        <v>71</v>
      </c>
      <c r="I573" t="s">
        <v>67</v>
      </c>
      <c r="J573" t="s">
        <v>57</v>
      </c>
      <c r="K573" s="6">
        <f t="shared" si="17"/>
        <v>1.1000000000000001</v>
      </c>
      <c r="L573" t="s">
        <v>64</v>
      </c>
      <c r="M573">
        <f t="shared" si="16"/>
        <v>7</v>
      </c>
      <c r="N573" t="s">
        <v>27</v>
      </c>
      <c r="O573" t="s">
        <v>103</v>
      </c>
      <c r="P573" s="2">
        <v>377</v>
      </c>
      <c r="Q573" t="s">
        <v>74</v>
      </c>
      <c r="R573" t="s">
        <v>42</v>
      </c>
      <c r="S573" t="s">
        <v>58</v>
      </c>
      <c r="T573" t="s">
        <v>32</v>
      </c>
    </row>
    <row r="574" spans="1:20" x14ac:dyDescent="0.25">
      <c r="A574" s="2">
        <v>573</v>
      </c>
      <c r="B574" s="2">
        <v>37334</v>
      </c>
      <c r="C574" t="s">
        <v>51</v>
      </c>
      <c r="D574" t="s">
        <v>52</v>
      </c>
      <c r="E574" t="s">
        <v>89</v>
      </c>
      <c r="F574" t="s">
        <v>90</v>
      </c>
      <c r="G574" t="s">
        <v>98</v>
      </c>
      <c r="H574" t="s">
        <v>73</v>
      </c>
      <c r="I574" t="s">
        <v>38</v>
      </c>
      <c r="J574" t="s">
        <v>48</v>
      </c>
      <c r="K574" s="6">
        <f t="shared" si="17"/>
        <v>0.5</v>
      </c>
      <c r="L574" t="s">
        <v>64</v>
      </c>
      <c r="M574">
        <f t="shared" si="16"/>
        <v>7</v>
      </c>
      <c r="N574" t="s">
        <v>27</v>
      </c>
      <c r="O574" t="s">
        <v>103</v>
      </c>
      <c r="P574" s="2">
        <v>834</v>
      </c>
      <c r="Q574" t="s">
        <v>104</v>
      </c>
      <c r="R574" t="s">
        <v>68</v>
      </c>
      <c r="S574" t="s">
        <v>31</v>
      </c>
      <c r="T574" t="s">
        <v>59</v>
      </c>
    </row>
    <row r="575" spans="1:20" x14ac:dyDescent="0.25">
      <c r="A575" s="2">
        <v>574</v>
      </c>
      <c r="B575" s="2">
        <v>93241</v>
      </c>
      <c r="C575" t="s">
        <v>60</v>
      </c>
      <c r="D575" t="s">
        <v>66</v>
      </c>
      <c r="E575" t="s">
        <v>20</v>
      </c>
      <c r="F575" t="s">
        <v>21</v>
      </c>
      <c r="G575" t="s">
        <v>55</v>
      </c>
      <c r="H575" t="s">
        <v>37</v>
      </c>
      <c r="I575" t="s">
        <v>38</v>
      </c>
      <c r="J575" t="s">
        <v>25</v>
      </c>
      <c r="K575" s="6">
        <f t="shared" si="17"/>
        <v>2</v>
      </c>
      <c r="L575" t="s">
        <v>64</v>
      </c>
      <c r="M575">
        <f t="shared" si="16"/>
        <v>7</v>
      </c>
      <c r="N575" t="s">
        <v>27</v>
      </c>
      <c r="O575" t="s">
        <v>28</v>
      </c>
      <c r="P575" s="2">
        <v>1410</v>
      </c>
      <c r="Q575" t="s">
        <v>104</v>
      </c>
      <c r="R575" t="s">
        <v>30</v>
      </c>
      <c r="S575" t="s">
        <v>58</v>
      </c>
      <c r="T575" t="s">
        <v>32</v>
      </c>
    </row>
    <row r="576" spans="1:20" x14ac:dyDescent="0.25">
      <c r="A576" s="2">
        <v>575</v>
      </c>
      <c r="B576" s="2">
        <v>75160</v>
      </c>
      <c r="C576" t="s">
        <v>96</v>
      </c>
      <c r="D576" t="s">
        <v>66</v>
      </c>
      <c r="E576" t="s">
        <v>84</v>
      </c>
      <c r="F576" t="s">
        <v>85</v>
      </c>
      <c r="G576" t="s">
        <v>92</v>
      </c>
      <c r="H576" t="s">
        <v>37</v>
      </c>
      <c r="I576" t="s">
        <v>67</v>
      </c>
      <c r="J576" t="s">
        <v>57</v>
      </c>
      <c r="K576" s="6">
        <f t="shared" si="17"/>
        <v>2.2000000000000002</v>
      </c>
      <c r="L576" t="s">
        <v>64</v>
      </c>
      <c r="M576">
        <f t="shared" si="16"/>
        <v>7</v>
      </c>
      <c r="N576" t="s">
        <v>40</v>
      </c>
      <c r="O576" t="s">
        <v>65</v>
      </c>
      <c r="P576" s="2">
        <v>2570</v>
      </c>
      <c r="Q576" t="s">
        <v>104</v>
      </c>
      <c r="R576" t="s">
        <v>75</v>
      </c>
      <c r="S576" t="s">
        <v>58</v>
      </c>
      <c r="T576" t="s">
        <v>32</v>
      </c>
    </row>
    <row r="577" spans="1:20" x14ac:dyDescent="0.25">
      <c r="A577" s="2">
        <v>576</v>
      </c>
      <c r="B577" s="2">
        <v>87014</v>
      </c>
      <c r="C577" t="s">
        <v>60</v>
      </c>
      <c r="D577" t="s">
        <v>66</v>
      </c>
      <c r="E577" t="s">
        <v>95</v>
      </c>
      <c r="F577" t="s">
        <v>21</v>
      </c>
      <c r="G577" t="s">
        <v>92</v>
      </c>
      <c r="H577" t="s">
        <v>46</v>
      </c>
      <c r="I577" t="s">
        <v>24</v>
      </c>
      <c r="J577" t="s">
        <v>25</v>
      </c>
      <c r="K577" s="6">
        <f t="shared" si="17"/>
        <v>0.6</v>
      </c>
      <c r="L577" t="s">
        <v>64</v>
      </c>
      <c r="M577">
        <f t="shared" si="16"/>
        <v>7</v>
      </c>
      <c r="N577" t="s">
        <v>27</v>
      </c>
      <c r="O577" t="s">
        <v>103</v>
      </c>
      <c r="P577" s="2">
        <v>555</v>
      </c>
      <c r="Q577" t="s">
        <v>41</v>
      </c>
      <c r="R577" t="s">
        <v>68</v>
      </c>
      <c r="S577" t="s">
        <v>31</v>
      </c>
      <c r="T577" t="s">
        <v>43</v>
      </c>
    </row>
    <row r="578" spans="1:20" x14ac:dyDescent="0.25">
      <c r="A578" s="2">
        <v>577</v>
      </c>
      <c r="B578" s="2">
        <v>97257</v>
      </c>
      <c r="C578" t="s">
        <v>51</v>
      </c>
      <c r="D578" t="s">
        <v>66</v>
      </c>
      <c r="E578" t="s">
        <v>61</v>
      </c>
      <c r="F578" t="s">
        <v>62</v>
      </c>
      <c r="G578" t="s">
        <v>81</v>
      </c>
      <c r="H578" t="s">
        <v>23</v>
      </c>
      <c r="I578" t="s">
        <v>91</v>
      </c>
      <c r="J578" t="s">
        <v>57</v>
      </c>
      <c r="K578" s="6">
        <f t="shared" si="17"/>
        <v>2.2000000000000002</v>
      </c>
      <c r="L578" t="s">
        <v>64</v>
      </c>
      <c r="M578">
        <f t="shared" ref="M578:M641" si="18">IF(L578="daily",7,IF(L578="weekly",3,1))</f>
        <v>7</v>
      </c>
      <c r="N578" t="s">
        <v>27</v>
      </c>
      <c r="O578" t="s">
        <v>102</v>
      </c>
      <c r="P578" s="2">
        <v>500</v>
      </c>
      <c r="Q578" t="s">
        <v>74</v>
      </c>
      <c r="R578" t="s">
        <v>30</v>
      </c>
      <c r="S578" t="s">
        <v>58</v>
      </c>
      <c r="T578" t="s">
        <v>59</v>
      </c>
    </row>
    <row r="579" spans="1:20" x14ac:dyDescent="0.25">
      <c r="A579" s="2">
        <v>578</v>
      </c>
      <c r="B579" s="2">
        <v>71186</v>
      </c>
      <c r="C579" t="s">
        <v>60</v>
      </c>
      <c r="D579" t="s">
        <v>66</v>
      </c>
      <c r="E579" t="s">
        <v>93</v>
      </c>
      <c r="F579" t="s">
        <v>62</v>
      </c>
      <c r="G579" t="s">
        <v>22</v>
      </c>
      <c r="H579" t="s">
        <v>71</v>
      </c>
      <c r="I579" t="s">
        <v>24</v>
      </c>
      <c r="J579" t="s">
        <v>86</v>
      </c>
      <c r="K579" s="6">
        <f t="shared" ref="K579:K642" si="19">IF(R579="Morning",2,IF(R579="Night",2,IF(R579="Evening",1,0.5)))
*
IF(I579="Espresso",0.75,IF(I579="Cold Brew",1.25,IF(I579="Filter Coffee",1.2,IF(I579="Instant Coffee",1,1.1))))</f>
        <v>2.4</v>
      </c>
      <c r="L579" t="s">
        <v>64</v>
      </c>
      <c r="M579">
        <f t="shared" si="18"/>
        <v>7</v>
      </c>
      <c r="N579" t="s">
        <v>27</v>
      </c>
      <c r="O579" t="s">
        <v>28</v>
      </c>
      <c r="P579" s="2">
        <v>240</v>
      </c>
      <c r="Q579" t="s">
        <v>41</v>
      </c>
      <c r="R579" t="s">
        <v>30</v>
      </c>
      <c r="S579" t="s">
        <v>69</v>
      </c>
      <c r="T579" t="s">
        <v>43</v>
      </c>
    </row>
    <row r="580" spans="1:20" x14ac:dyDescent="0.25">
      <c r="A580" s="2">
        <v>579</v>
      </c>
      <c r="B580" s="2">
        <v>47386</v>
      </c>
      <c r="C580" t="s">
        <v>51</v>
      </c>
      <c r="D580" t="s">
        <v>66</v>
      </c>
      <c r="E580" t="s">
        <v>76</v>
      </c>
      <c r="F580" t="s">
        <v>77</v>
      </c>
      <c r="G580" t="s">
        <v>55</v>
      </c>
      <c r="H580" t="s">
        <v>23</v>
      </c>
      <c r="I580" t="s">
        <v>94</v>
      </c>
      <c r="J580" t="s">
        <v>86</v>
      </c>
      <c r="K580" s="6">
        <f t="shared" si="19"/>
        <v>1.5</v>
      </c>
      <c r="L580" t="s">
        <v>64</v>
      </c>
      <c r="M580">
        <f t="shared" si="18"/>
        <v>7</v>
      </c>
      <c r="N580" t="s">
        <v>40</v>
      </c>
      <c r="O580" t="s">
        <v>103</v>
      </c>
      <c r="P580" s="2">
        <v>463</v>
      </c>
      <c r="Q580" t="s">
        <v>104</v>
      </c>
      <c r="R580" t="s">
        <v>75</v>
      </c>
      <c r="S580" t="s">
        <v>58</v>
      </c>
      <c r="T580" t="s">
        <v>43</v>
      </c>
    </row>
    <row r="581" spans="1:20" x14ac:dyDescent="0.25">
      <c r="A581" s="2">
        <v>580</v>
      </c>
      <c r="B581" s="2">
        <v>25235</v>
      </c>
      <c r="C581" t="s">
        <v>60</v>
      </c>
      <c r="D581" t="s">
        <v>52</v>
      </c>
      <c r="E581" t="s">
        <v>61</v>
      </c>
      <c r="F581" t="s">
        <v>62</v>
      </c>
      <c r="G581" t="s">
        <v>92</v>
      </c>
      <c r="H581" t="s">
        <v>73</v>
      </c>
      <c r="I581" t="s">
        <v>56</v>
      </c>
      <c r="J581" t="s">
        <v>57</v>
      </c>
      <c r="K581" s="6">
        <f t="shared" si="19"/>
        <v>2.2000000000000002</v>
      </c>
      <c r="L581" t="s">
        <v>64</v>
      </c>
      <c r="M581">
        <f t="shared" si="18"/>
        <v>7</v>
      </c>
      <c r="N581" t="s">
        <v>40</v>
      </c>
      <c r="O581" t="s">
        <v>102</v>
      </c>
      <c r="P581" s="2">
        <v>895</v>
      </c>
      <c r="Q581" t="s">
        <v>41</v>
      </c>
      <c r="R581" t="s">
        <v>30</v>
      </c>
      <c r="S581" t="s">
        <v>50</v>
      </c>
      <c r="T581" t="s">
        <v>59</v>
      </c>
    </row>
    <row r="582" spans="1:20" x14ac:dyDescent="0.25">
      <c r="A582" s="2">
        <v>581</v>
      </c>
      <c r="B582" s="2">
        <v>89486</v>
      </c>
      <c r="C582" t="s">
        <v>60</v>
      </c>
      <c r="D582" t="s">
        <v>52</v>
      </c>
      <c r="E582" t="s">
        <v>79</v>
      </c>
      <c r="F582" t="s">
        <v>80</v>
      </c>
      <c r="G582" t="s">
        <v>70</v>
      </c>
      <c r="H582" t="s">
        <v>23</v>
      </c>
      <c r="I582" t="s">
        <v>24</v>
      </c>
      <c r="J582" t="s">
        <v>25</v>
      </c>
      <c r="K582" s="6">
        <f t="shared" si="19"/>
        <v>1.2</v>
      </c>
      <c r="L582" t="s">
        <v>26</v>
      </c>
      <c r="M582">
        <f t="shared" si="18"/>
        <v>1</v>
      </c>
      <c r="N582" t="s">
        <v>27</v>
      </c>
      <c r="O582" t="s">
        <v>102</v>
      </c>
      <c r="P582" s="2">
        <v>654</v>
      </c>
      <c r="Q582" t="s">
        <v>41</v>
      </c>
      <c r="R582" t="s">
        <v>42</v>
      </c>
      <c r="S582" t="s">
        <v>58</v>
      </c>
      <c r="T582" t="s">
        <v>43</v>
      </c>
    </row>
    <row r="583" spans="1:20" x14ac:dyDescent="0.25">
      <c r="A583" s="2">
        <v>582</v>
      </c>
      <c r="B583" s="2">
        <v>15772</v>
      </c>
      <c r="C583" t="s">
        <v>60</v>
      </c>
      <c r="D583" t="s">
        <v>52</v>
      </c>
      <c r="E583" t="s">
        <v>44</v>
      </c>
      <c r="F583" t="s">
        <v>44</v>
      </c>
      <c r="G583" t="s">
        <v>63</v>
      </c>
      <c r="H583" t="s">
        <v>23</v>
      </c>
      <c r="I583" t="s">
        <v>38</v>
      </c>
      <c r="J583" t="s">
        <v>57</v>
      </c>
      <c r="K583" s="6">
        <f t="shared" si="19"/>
        <v>1</v>
      </c>
      <c r="L583" t="s">
        <v>64</v>
      </c>
      <c r="M583">
        <f t="shared" si="18"/>
        <v>7</v>
      </c>
      <c r="N583" t="s">
        <v>27</v>
      </c>
      <c r="O583" t="s">
        <v>102</v>
      </c>
      <c r="P583" s="2">
        <v>506</v>
      </c>
      <c r="Q583" t="s">
        <v>104</v>
      </c>
      <c r="R583" t="s">
        <v>42</v>
      </c>
      <c r="S583" t="s">
        <v>50</v>
      </c>
      <c r="T583" t="s">
        <v>43</v>
      </c>
    </row>
    <row r="584" spans="1:20" x14ac:dyDescent="0.25">
      <c r="A584" s="2">
        <v>583</v>
      </c>
      <c r="B584" s="2">
        <v>82764</v>
      </c>
      <c r="C584" t="s">
        <v>51</v>
      </c>
      <c r="D584" t="s">
        <v>66</v>
      </c>
      <c r="E584" t="s">
        <v>89</v>
      </c>
      <c r="F584" t="s">
        <v>90</v>
      </c>
      <c r="G584" t="s">
        <v>45</v>
      </c>
      <c r="H584" t="s">
        <v>37</v>
      </c>
      <c r="I584" t="s">
        <v>91</v>
      </c>
      <c r="J584" t="s">
        <v>48</v>
      </c>
      <c r="K584" s="6">
        <f t="shared" si="19"/>
        <v>1.1000000000000001</v>
      </c>
      <c r="L584" t="s">
        <v>26</v>
      </c>
      <c r="M584">
        <f t="shared" si="18"/>
        <v>1</v>
      </c>
      <c r="N584" t="s">
        <v>40</v>
      </c>
      <c r="O584" t="s">
        <v>103</v>
      </c>
      <c r="P584" s="2">
        <v>1640</v>
      </c>
      <c r="Q584" t="s">
        <v>29</v>
      </c>
      <c r="R584" t="s">
        <v>42</v>
      </c>
      <c r="S584" t="s">
        <v>50</v>
      </c>
      <c r="T584" t="s">
        <v>59</v>
      </c>
    </row>
    <row r="585" spans="1:20" x14ac:dyDescent="0.25">
      <c r="A585" s="2">
        <v>584</v>
      </c>
      <c r="B585" s="2">
        <v>67394</v>
      </c>
      <c r="C585" t="s">
        <v>33</v>
      </c>
      <c r="D585" t="s">
        <v>66</v>
      </c>
      <c r="E585" t="s">
        <v>99</v>
      </c>
      <c r="F585" t="s">
        <v>100</v>
      </c>
      <c r="G585" t="s">
        <v>22</v>
      </c>
      <c r="H585" t="s">
        <v>23</v>
      </c>
      <c r="I585" t="s">
        <v>94</v>
      </c>
      <c r="J585" t="s">
        <v>48</v>
      </c>
      <c r="K585" s="6">
        <f t="shared" si="19"/>
        <v>1.5</v>
      </c>
      <c r="L585" t="s">
        <v>64</v>
      </c>
      <c r="M585">
        <f t="shared" si="18"/>
        <v>7</v>
      </c>
      <c r="N585" t="s">
        <v>27</v>
      </c>
      <c r="O585" t="s">
        <v>103</v>
      </c>
      <c r="P585" s="2">
        <v>550</v>
      </c>
      <c r="Q585" t="s">
        <v>41</v>
      </c>
      <c r="R585" t="s">
        <v>75</v>
      </c>
      <c r="S585" t="s">
        <v>50</v>
      </c>
      <c r="T585" t="s">
        <v>32</v>
      </c>
    </row>
    <row r="586" spans="1:20" x14ac:dyDescent="0.25">
      <c r="A586" s="2">
        <v>585</v>
      </c>
      <c r="B586" s="2">
        <v>26653</v>
      </c>
      <c r="C586" t="s">
        <v>33</v>
      </c>
      <c r="D586" t="s">
        <v>66</v>
      </c>
      <c r="E586" t="s">
        <v>20</v>
      </c>
      <c r="F586" t="s">
        <v>21</v>
      </c>
      <c r="G586" t="s">
        <v>22</v>
      </c>
      <c r="H586" t="s">
        <v>23</v>
      </c>
      <c r="I586" t="s">
        <v>56</v>
      </c>
      <c r="J586" t="s">
        <v>57</v>
      </c>
      <c r="K586" s="6">
        <f t="shared" si="19"/>
        <v>2.2000000000000002</v>
      </c>
      <c r="L586" t="s">
        <v>26</v>
      </c>
      <c r="M586">
        <f t="shared" si="18"/>
        <v>1</v>
      </c>
      <c r="N586" t="s">
        <v>104</v>
      </c>
      <c r="O586" t="s">
        <v>103</v>
      </c>
      <c r="P586" s="2">
        <v>507</v>
      </c>
      <c r="Q586" t="s">
        <v>41</v>
      </c>
      <c r="R586" t="s">
        <v>30</v>
      </c>
      <c r="S586" t="s">
        <v>50</v>
      </c>
      <c r="T586" t="s">
        <v>32</v>
      </c>
    </row>
    <row r="587" spans="1:20" x14ac:dyDescent="0.25">
      <c r="A587" s="2">
        <v>586</v>
      </c>
      <c r="B587" s="2">
        <v>14508</v>
      </c>
      <c r="C587" t="s">
        <v>60</v>
      </c>
      <c r="D587" t="s">
        <v>52</v>
      </c>
      <c r="E587" t="s">
        <v>95</v>
      </c>
      <c r="F587" t="s">
        <v>21</v>
      </c>
      <c r="G587" t="s">
        <v>81</v>
      </c>
      <c r="H587" t="s">
        <v>37</v>
      </c>
      <c r="I587" t="s">
        <v>24</v>
      </c>
      <c r="J587" t="s">
        <v>25</v>
      </c>
      <c r="K587" s="6">
        <f t="shared" si="19"/>
        <v>2.4</v>
      </c>
      <c r="L587" t="s">
        <v>64</v>
      </c>
      <c r="M587">
        <f t="shared" si="18"/>
        <v>7</v>
      </c>
      <c r="N587" t="s">
        <v>27</v>
      </c>
      <c r="O587" t="s">
        <v>72</v>
      </c>
      <c r="P587" s="2">
        <v>2286</v>
      </c>
      <c r="Q587" t="s">
        <v>104</v>
      </c>
      <c r="R587" t="s">
        <v>75</v>
      </c>
      <c r="S587" t="s">
        <v>58</v>
      </c>
      <c r="T587" t="s">
        <v>43</v>
      </c>
    </row>
    <row r="588" spans="1:20" x14ac:dyDescent="0.25">
      <c r="A588" s="2">
        <v>587</v>
      </c>
      <c r="B588" s="2">
        <v>76789</v>
      </c>
      <c r="C588" t="s">
        <v>33</v>
      </c>
      <c r="D588" t="s">
        <v>66</v>
      </c>
      <c r="E588" t="s">
        <v>53</v>
      </c>
      <c r="F588" t="s">
        <v>54</v>
      </c>
      <c r="G588" t="s">
        <v>45</v>
      </c>
      <c r="H588" t="s">
        <v>73</v>
      </c>
      <c r="I588" t="s">
        <v>24</v>
      </c>
      <c r="J588" t="s">
        <v>39</v>
      </c>
      <c r="K588" s="6">
        <f t="shared" si="19"/>
        <v>2.4</v>
      </c>
      <c r="L588" t="s">
        <v>64</v>
      </c>
      <c r="M588">
        <f t="shared" si="18"/>
        <v>7</v>
      </c>
      <c r="N588" t="s">
        <v>104</v>
      </c>
      <c r="O588" t="s">
        <v>103</v>
      </c>
      <c r="P588" s="2">
        <v>915</v>
      </c>
      <c r="Q588" t="s">
        <v>29</v>
      </c>
      <c r="R588" t="s">
        <v>75</v>
      </c>
      <c r="S588" t="s">
        <v>69</v>
      </c>
      <c r="T588" t="s">
        <v>59</v>
      </c>
    </row>
    <row r="589" spans="1:20" x14ac:dyDescent="0.25">
      <c r="A589" s="2">
        <v>588</v>
      </c>
      <c r="B589" s="2">
        <v>28852</v>
      </c>
      <c r="C589" t="s">
        <v>51</v>
      </c>
      <c r="D589" t="s">
        <v>52</v>
      </c>
      <c r="E589" t="s">
        <v>89</v>
      </c>
      <c r="F589" t="s">
        <v>90</v>
      </c>
      <c r="G589" t="s">
        <v>81</v>
      </c>
      <c r="H589" t="s">
        <v>46</v>
      </c>
      <c r="I589" t="s">
        <v>67</v>
      </c>
      <c r="J589" t="s">
        <v>57</v>
      </c>
      <c r="K589" s="6">
        <f t="shared" si="19"/>
        <v>0.55000000000000004</v>
      </c>
      <c r="L589" t="s">
        <v>64</v>
      </c>
      <c r="M589">
        <f t="shared" si="18"/>
        <v>7</v>
      </c>
      <c r="N589" t="s">
        <v>40</v>
      </c>
      <c r="O589" t="s">
        <v>65</v>
      </c>
      <c r="P589" s="2">
        <v>398</v>
      </c>
      <c r="Q589" t="s">
        <v>74</v>
      </c>
      <c r="R589" t="s">
        <v>68</v>
      </c>
      <c r="S589" t="s">
        <v>58</v>
      </c>
      <c r="T589" t="s">
        <v>59</v>
      </c>
    </row>
    <row r="590" spans="1:20" x14ac:dyDescent="0.25">
      <c r="A590" s="2">
        <v>589</v>
      </c>
      <c r="B590" s="2">
        <v>89558</v>
      </c>
      <c r="C590" t="s">
        <v>51</v>
      </c>
      <c r="D590" t="s">
        <v>52</v>
      </c>
      <c r="E590" t="s">
        <v>95</v>
      </c>
      <c r="F590" t="s">
        <v>21</v>
      </c>
      <c r="G590" t="s">
        <v>36</v>
      </c>
      <c r="H590" t="s">
        <v>46</v>
      </c>
      <c r="I590" t="s">
        <v>24</v>
      </c>
      <c r="J590" t="s">
        <v>25</v>
      </c>
      <c r="K590" s="6">
        <f t="shared" si="19"/>
        <v>2.4</v>
      </c>
      <c r="L590" t="s">
        <v>64</v>
      </c>
      <c r="M590">
        <f t="shared" si="18"/>
        <v>7</v>
      </c>
      <c r="N590" t="s">
        <v>27</v>
      </c>
      <c r="O590" t="s">
        <v>103</v>
      </c>
      <c r="P590" s="2">
        <v>293</v>
      </c>
      <c r="Q590" t="s">
        <v>104</v>
      </c>
      <c r="R590" t="s">
        <v>75</v>
      </c>
      <c r="S590" t="s">
        <v>58</v>
      </c>
      <c r="T590" t="s">
        <v>43</v>
      </c>
    </row>
    <row r="591" spans="1:20" x14ac:dyDescent="0.25">
      <c r="A591" s="2">
        <v>590</v>
      </c>
      <c r="B591" s="2">
        <v>45152</v>
      </c>
      <c r="C591" t="s">
        <v>96</v>
      </c>
      <c r="D591" t="s">
        <v>52</v>
      </c>
      <c r="E591" t="s">
        <v>89</v>
      </c>
      <c r="F591" t="s">
        <v>90</v>
      </c>
      <c r="G591" t="s">
        <v>36</v>
      </c>
      <c r="H591" t="s">
        <v>73</v>
      </c>
      <c r="I591" t="s">
        <v>24</v>
      </c>
      <c r="J591" t="s">
        <v>57</v>
      </c>
      <c r="K591" s="6">
        <f t="shared" si="19"/>
        <v>2.4</v>
      </c>
      <c r="L591" t="s">
        <v>64</v>
      </c>
      <c r="M591">
        <f t="shared" si="18"/>
        <v>7</v>
      </c>
      <c r="N591" t="s">
        <v>40</v>
      </c>
      <c r="O591" t="s">
        <v>28</v>
      </c>
      <c r="P591" s="2">
        <v>1002</v>
      </c>
      <c r="Q591" t="s">
        <v>74</v>
      </c>
      <c r="R591" t="s">
        <v>75</v>
      </c>
      <c r="S591" t="s">
        <v>69</v>
      </c>
      <c r="T591" t="s">
        <v>59</v>
      </c>
    </row>
    <row r="592" spans="1:20" x14ac:dyDescent="0.25">
      <c r="A592" s="2">
        <v>591</v>
      </c>
      <c r="B592" s="2">
        <v>85088</v>
      </c>
      <c r="C592" t="s">
        <v>33</v>
      </c>
      <c r="D592" t="s">
        <v>66</v>
      </c>
      <c r="E592" t="s">
        <v>44</v>
      </c>
      <c r="F592" t="s">
        <v>44</v>
      </c>
      <c r="G592" t="s">
        <v>55</v>
      </c>
      <c r="H592" t="s">
        <v>46</v>
      </c>
      <c r="I592" t="s">
        <v>67</v>
      </c>
      <c r="J592" t="s">
        <v>57</v>
      </c>
      <c r="K592" s="6">
        <f t="shared" si="19"/>
        <v>1.1000000000000001</v>
      </c>
      <c r="L592" t="s">
        <v>64</v>
      </c>
      <c r="M592">
        <f t="shared" si="18"/>
        <v>7</v>
      </c>
      <c r="N592" t="s">
        <v>104</v>
      </c>
      <c r="O592" t="s">
        <v>103</v>
      </c>
      <c r="P592" s="2">
        <v>538</v>
      </c>
      <c r="Q592" t="s">
        <v>74</v>
      </c>
      <c r="R592" t="s">
        <v>42</v>
      </c>
      <c r="S592" t="s">
        <v>31</v>
      </c>
      <c r="T592" t="s">
        <v>43</v>
      </c>
    </row>
    <row r="593" spans="1:20" x14ac:dyDescent="0.25">
      <c r="A593" s="2">
        <v>592</v>
      </c>
      <c r="B593" s="2">
        <v>79017</v>
      </c>
      <c r="C593" t="s">
        <v>51</v>
      </c>
      <c r="D593" t="s">
        <v>66</v>
      </c>
      <c r="E593" t="s">
        <v>95</v>
      </c>
      <c r="F593" t="s">
        <v>21</v>
      </c>
      <c r="G593" t="s">
        <v>22</v>
      </c>
      <c r="H593" t="s">
        <v>46</v>
      </c>
      <c r="I593" t="s">
        <v>24</v>
      </c>
      <c r="J593" t="s">
        <v>25</v>
      </c>
      <c r="K593" s="6">
        <f t="shared" si="19"/>
        <v>2.4</v>
      </c>
      <c r="L593" t="s">
        <v>64</v>
      </c>
      <c r="M593">
        <f t="shared" si="18"/>
        <v>7</v>
      </c>
      <c r="N593" t="s">
        <v>104</v>
      </c>
      <c r="O593" t="s">
        <v>103</v>
      </c>
      <c r="P593" s="2">
        <v>297</v>
      </c>
      <c r="Q593" t="s">
        <v>29</v>
      </c>
      <c r="R593" t="s">
        <v>30</v>
      </c>
      <c r="S593" t="s">
        <v>31</v>
      </c>
      <c r="T593" t="s">
        <v>43</v>
      </c>
    </row>
    <row r="594" spans="1:20" x14ac:dyDescent="0.25">
      <c r="A594" s="2">
        <v>593</v>
      </c>
      <c r="B594" s="2">
        <v>37498</v>
      </c>
      <c r="C594" t="s">
        <v>33</v>
      </c>
      <c r="D594" t="s">
        <v>52</v>
      </c>
      <c r="E594" t="s">
        <v>101</v>
      </c>
      <c r="F594" t="s">
        <v>80</v>
      </c>
      <c r="G594" t="s">
        <v>22</v>
      </c>
      <c r="H594" t="s">
        <v>71</v>
      </c>
      <c r="I594" t="s">
        <v>47</v>
      </c>
      <c r="J594" t="s">
        <v>57</v>
      </c>
      <c r="K594" s="6">
        <f t="shared" si="19"/>
        <v>1.25</v>
      </c>
      <c r="L594" t="s">
        <v>64</v>
      </c>
      <c r="M594">
        <f t="shared" si="18"/>
        <v>7</v>
      </c>
      <c r="N594" t="s">
        <v>104</v>
      </c>
      <c r="O594" t="s">
        <v>103</v>
      </c>
      <c r="P594" s="2">
        <v>330</v>
      </c>
      <c r="Q594" t="s">
        <v>74</v>
      </c>
      <c r="R594" t="s">
        <v>42</v>
      </c>
      <c r="S594" t="s">
        <v>58</v>
      </c>
      <c r="T594" t="s">
        <v>32</v>
      </c>
    </row>
    <row r="595" spans="1:20" x14ac:dyDescent="0.25">
      <c r="A595" s="2">
        <v>594</v>
      </c>
      <c r="B595" s="2">
        <v>98632</v>
      </c>
      <c r="C595" t="s">
        <v>33</v>
      </c>
      <c r="D595" t="s">
        <v>66</v>
      </c>
      <c r="E595" t="s">
        <v>44</v>
      </c>
      <c r="F595" t="s">
        <v>44</v>
      </c>
      <c r="G595" t="s">
        <v>36</v>
      </c>
      <c r="H595" t="s">
        <v>46</v>
      </c>
      <c r="I595" t="s">
        <v>67</v>
      </c>
      <c r="J595" t="s">
        <v>48</v>
      </c>
      <c r="K595" s="6">
        <f t="shared" si="19"/>
        <v>2.2000000000000002</v>
      </c>
      <c r="L595" t="s">
        <v>26</v>
      </c>
      <c r="M595">
        <f t="shared" si="18"/>
        <v>1</v>
      </c>
      <c r="N595" t="s">
        <v>27</v>
      </c>
      <c r="O595" t="s">
        <v>82</v>
      </c>
      <c r="P595" s="2">
        <v>442</v>
      </c>
      <c r="Q595" t="s">
        <v>41</v>
      </c>
      <c r="R595" t="s">
        <v>30</v>
      </c>
      <c r="S595" t="s">
        <v>50</v>
      </c>
      <c r="T595" t="s">
        <v>43</v>
      </c>
    </row>
    <row r="596" spans="1:20" x14ac:dyDescent="0.25">
      <c r="A596" s="2">
        <v>595</v>
      </c>
      <c r="B596" s="2">
        <v>23451</v>
      </c>
      <c r="C596" t="s">
        <v>51</v>
      </c>
      <c r="D596" t="s">
        <v>66</v>
      </c>
      <c r="E596" t="s">
        <v>79</v>
      </c>
      <c r="F596" t="s">
        <v>80</v>
      </c>
      <c r="G596" t="s">
        <v>63</v>
      </c>
      <c r="H596" t="s">
        <v>37</v>
      </c>
      <c r="I596" t="s">
        <v>83</v>
      </c>
      <c r="J596" t="s">
        <v>25</v>
      </c>
      <c r="K596" s="6">
        <f t="shared" si="19"/>
        <v>2.2000000000000002</v>
      </c>
      <c r="L596" t="s">
        <v>64</v>
      </c>
      <c r="M596">
        <f t="shared" si="18"/>
        <v>7</v>
      </c>
      <c r="N596" t="s">
        <v>27</v>
      </c>
      <c r="O596" t="s">
        <v>72</v>
      </c>
      <c r="P596" s="2">
        <v>2211</v>
      </c>
      <c r="Q596" t="s">
        <v>104</v>
      </c>
      <c r="R596" t="s">
        <v>30</v>
      </c>
      <c r="S596" t="s">
        <v>58</v>
      </c>
      <c r="T596" t="s">
        <v>43</v>
      </c>
    </row>
    <row r="597" spans="1:20" x14ac:dyDescent="0.25">
      <c r="A597" s="2">
        <v>596</v>
      </c>
      <c r="B597" s="2">
        <v>29649</v>
      </c>
      <c r="C597" t="s">
        <v>51</v>
      </c>
      <c r="D597" t="s">
        <v>66</v>
      </c>
      <c r="E597" t="s">
        <v>89</v>
      </c>
      <c r="F597" t="s">
        <v>90</v>
      </c>
      <c r="G597" t="s">
        <v>45</v>
      </c>
      <c r="H597" t="s">
        <v>73</v>
      </c>
      <c r="I597" t="s">
        <v>91</v>
      </c>
      <c r="J597" t="s">
        <v>57</v>
      </c>
      <c r="K597" s="6">
        <f t="shared" si="19"/>
        <v>2.2000000000000002</v>
      </c>
      <c r="L597" t="s">
        <v>64</v>
      </c>
      <c r="M597">
        <f t="shared" si="18"/>
        <v>7</v>
      </c>
      <c r="N597" t="s">
        <v>104</v>
      </c>
      <c r="O597" t="s">
        <v>103</v>
      </c>
      <c r="P597" s="2">
        <v>1174</v>
      </c>
      <c r="Q597" t="s">
        <v>74</v>
      </c>
      <c r="R597" t="s">
        <v>30</v>
      </c>
      <c r="S597" t="s">
        <v>69</v>
      </c>
      <c r="T597" t="s">
        <v>59</v>
      </c>
    </row>
    <row r="598" spans="1:20" x14ac:dyDescent="0.25">
      <c r="A598" s="2">
        <v>597</v>
      </c>
      <c r="B598" s="2">
        <v>60378</v>
      </c>
      <c r="C598" t="s">
        <v>33</v>
      </c>
      <c r="D598" t="s">
        <v>52</v>
      </c>
      <c r="E598" t="s">
        <v>61</v>
      </c>
      <c r="F598" t="s">
        <v>62</v>
      </c>
      <c r="G598" t="s">
        <v>63</v>
      </c>
      <c r="H598" t="s">
        <v>37</v>
      </c>
      <c r="I598" t="s">
        <v>67</v>
      </c>
      <c r="J598" t="s">
        <v>86</v>
      </c>
      <c r="K598" s="6">
        <f t="shared" si="19"/>
        <v>2.2000000000000002</v>
      </c>
      <c r="L598" t="s">
        <v>64</v>
      </c>
      <c r="M598">
        <f t="shared" si="18"/>
        <v>7</v>
      </c>
      <c r="N598" t="s">
        <v>27</v>
      </c>
      <c r="O598" t="s">
        <v>65</v>
      </c>
      <c r="P598" s="2">
        <v>2252</v>
      </c>
      <c r="Q598" t="s">
        <v>29</v>
      </c>
      <c r="R598" t="s">
        <v>30</v>
      </c>
      <c r="S598" t="s">
        <v>58</v>
      </c>
      <c r="T598" t="s">
        <v>59</v>
      </c>
    </row>
    <row r="599" spans="1:20" x14ac:dyDescent="0.25">
      <c r="A599" s="2">
        <v>598</v>
      </c>
      <c r="B599" s="2">
        <v>14493</v>
      </c>
      <c r="C599" t="s">
        <v>33</v>
      </c>
      <c r="D599" t="s">
        <v>66</v>
      </c>
      <c r="E599" t="s">
        <v>89</v>
      </c>
      <c r="F599" t="s">
        <v>90</v>
      </c>
      <c r="G599" t="s">
        <v>45</v>
      </c>
      <c r="H599" t="s">
        <v>73</v>
      </c>
      <c r="I599" t="s">
        <v>67</v>
      </c>
      <c r="J599" t="s">
        <v>25</v>
      </c>
      <c r="K599" s="6">
        <f t="shared" si="19"/>
        <v>2.2000000000000002</v>
      </c>
      <c r="L599" t="s">
        <v>49</v>
      </c>
      <c r="M599">
        <f t="shared" si="18"/>
        <v>3</v>
      </c>
      <c r="N599" t="s">
        <v>27</v>
      </c>
      <c r="O599" t="s">
        <v>103</v>
      </c>
      <c r="P599" s="2">
        <v>954</v>
      </c>
      <c r="Q599" t="s">
        <v>74</v>
      </c>
      <c r="R599" t="s">
        <v>75</v>
      </c>
      <c r="S599" t="s">
        <v>31</v>
      </c>
      <c r="T599" t="s">
        <v>59</v>
      </c>
    </row>
    <row r="600" spans="1:20" x14ac:dyDescent="0.25">
      <c r="A600" s="2">
        <v>599</v>
      </c>
      <c r="B600" s="2">
        <v>49076</v>
      </c>
      <c r="C600" t="s">
        <v>51</v>
      </c>
      <c r="D600" t="s">
        <v>52</v>
      </c>
      <c r="E600" t="s">
        <v>61</v>
      </c>
      <c r="F600" t="s">
        <v>62</v>
      </c>
      <c r="G600" t="s">
        <v>70</v>
      </c>
      <c r="H600" t="s">
        <v>46</v>
      </c>
      <c r="I600" t="s">
        <v>38</v>
      </c>
      <c r="J600" t="s">
        <v>57</v>
      </c>
      <c r="K600" s="6">
        <f t="shared" si="19"/>
        <v>1</v>
      </c>
      <c r="L600" t="s">
        <v>64</v>
      </c>
      <c r="M600">
        <f t="shared" si="18"/>
        <v>7</v>
      </c>
      <c r="N600" t="s">
        <v>40</v>
      </c>
      <c r="O600" t="s">
        <v>103</v>
      </c>
      <c r="P600" s="2">
        <v>451</v>
      </c>
      <c r="Q600" t="s">
        <v>104</v>
      </c>
      <c r="R600" t="s">
        <v>42</v>
      </c>
      <c r="S600" t="s">
        <v>50</v>
      </c>
      <c r="T600" t="s">
        <v>59</v>
      </c>
    </row>
    <row r="601" spans="1:20" x14ac:dyDescent="0.25">
      <c r="A601" s="2">
        <v>600</v>
      </c>
      <c r="B601" s="2">
        <v>66618</v>
      </c>
      <c r="C601" t="s">
        <v>19</v>
      </c>
      <c r="D601" t="s">
        <v>52</v>
      </c>
      <c r="E601" t="s">
        <v>93</v>
      </c>
      <c r="F601" t="s">
        <v>62</v>
      </c>
      <c r="G601" t="s">
        <v>45</v>
      </c>
      <c r="H601" t="s">
        <v>23</v>
      </c>
      <c r="I601" t="s">
        <v>67</v>
      </c>
      <c r="J601" t="s">
        <v>48</v>
      </c>
      <c r="K601" s="6">
        <f t="shared" si="19"/>
        <v>2.2000000000000002</v>
      </c>
      <c r="L601" t="s">
        <v>64</v>
      </c>
      <c r="M601">
        <f t="shared" si="18"/>
        <v>7</v>
      </c>
      <c r="N601" t="s">
        <v>27</v>
      </c>
      <c r="O601" t="s">
        <v>72</v>
      </c>
      <c r="P601" s="2">
        <v>626</v>
      </c>
      <c r="Q601" t="s">
        <v>74</v>
      </c>
      <c r="R601" t="s">
        <v>30</v>
      </c>
      <c r="S601" t="s">
        <v>50</v>
      </c>
      <c r="T601" t="s">
        <v>43</v>
      </c>
    </row>
    <row r="602" spans="1:20" x14ac:dyDescent="0.25">
      <c r="A602" s="2">
        <v>601</v>
      </c>
      <c r="B602" s="2">
        <v>63266</v>
      </c>
      <c r="C602" t="s">
        <v>33</v>
      </c>
      <c r="D602" t="s">
        <v>52</v>
      </c>
      <c r="E602" t="s">
        <v>61</v>
      </c>
      <c r="F602" t="s">
        <v>62</v>
      </c>
      <c r="G602" t="s">
        <v>81</v>
      </c>
      <c r="H602" t="s">
        <v>23</v>
      </c>
      <c r="I602" t="s">
        <v>38</v>
      </c>
      <c r="J602" t="s">
        <v>25</v>
      </c>
      <c r="K602" s="6">
        <f t="shared" si="19"/>
        <v>2</v>
      </c>
      <c r="L602" t="s">
        <v>64</v>
      </c>
      <c r="M602">
        <f t="shared" si="18"/>
        <v>7</v>
      </c>
      <c r="N602" t="s">
        <v>27</v>
      </c>
      <c r="O602" t="s">
        <v>82</v>
      </c>
      <c r="P602" s="2">
        <v>846</v>
      </c>
      <c r="Q602" t="s">
        <v>74</v>
      </c>
      <c r="R602" t="s">
        <v>30</v>
      </c>
      <c r="S602" t="s">
        <v>31</v>
      </c>
      <c r="T602" t="s">
        <v>59</v>
      </c>
    </row>
    <row r="603" spans="1:20" x14ac:dyDescent="0.25">
      <c r="A603" s="2">
        <v>602</v>
      </c>
      <c r="B603" s="2">
        <v>38991</v>
      </c>
      <c r="C603" t="s">
        <v>60</v>
      </c>
      <c r="D603" t="s">
        <v>52</v>
      </c>
      <c r="E603" t="s">
        <v>20</v>
      </c>
      <c r="F603" t="s">
        <v>21</v>
      </c>
      <c r="G603" t="s">
        <v>22</v>
      </c>
      <c r="H603" t="s">
        <v>23</v>
      </c>
      <c r="I603" t="s">
        <v>83</v>
      </c>
      <c r="J603" t="s">
        <v>57</v>
      </c>
      <c r="K603" s="6">
        <f t="shared" si="19"/>
        <v>2.2000000000000002</v>
      </c>
      <c r="L603" t="s">
        <v>26</v>
      </c>
      <c r="M603">
        <f t="shared" si="18"/>
        <v>1</v>
      </c>
      <c r="N603" t="s">
        <v>27</v>
      </c>
      <c r="O603" t="s">
        <v>103</v>
      </c>
      <c r="P603" s="2">
        <v>475</v>
      </c>
      <c r="Q603" t="s">
        <v>104</v>
      </c>
      <c r="R603" t="s">
        <v>30</v>
      </c>
      <c r="S603" t="s">
        <v>58</v>
      </c>
      <c r="T603" t="s">
        <v>32</v>
      </c>
    </row>
    <row r="604" spans="1:20" x14ac:dyDescent="0.25">
      <c r="A604" s="2">
        <v>603</v>
      </c>
      <c r="B604" s="2">
        <v>73111</v>
      </c>
      <c r="C604" t="s">
        <v>19</v>
      </c>
      <c r="D604" t="s">
        <v>52</v>
      </c>
      <c r="E604" t="s">
        <v>84</v>
      </c>
      <c r="F604" t="s">
        <v>85</v>
      </c>
      <c r="G604" t="s">
        <v>63</v>
      </c>
      <c r="H604" t="s">
        <v>71</v>
      </c>
      <c r="I604" t="s">
        <v>56</v>
      </c>
      <c r="J604" t="s">
        <v>57</v>
      </c>
      <c r="K604" s="6">
        <f t="shared" si="19"/>
        <v>2.2000000000000002</v>
      </c>
      <c r="L604" t="s">
        <v>64</v>
      </c>
      <c r="M604">
        <f t="shared" si="18"/>
        <v>7</v>
      </c>
      <c r="N604" t="s">
        <v>27</v>
      </c>
      <c r="O604" t="s">
        <v>103</v>
      </c>
      <c r="P604" s="2">
        <v>302</v>
      </c>
      <c r="Q604" t="s">
        <v>74</v>
      </c>
      <c r="R604" t="s">
        <v>75</v>
      </c>
      <c r="S604" t="s">
        <v>50</v>
      </c>
      <c r="T604" t="s">
        <v>32</v>
      </c>
    </row>
    <row r="605" spans="1:20" x14ac:dyDescent="0.25">
      <c r="A605" s="2">
        <v>604</v>
      </c>
      <c r="B605" s="2">
        <v>99817</v>
      </c>
      <c r="C605" t="s">
        <v>96</v>
      </c>
      <c r="D605" t="s">
        <v>52</v>
      </c>
      <c r="E605" t="s">
        <v>101</v>
      </c>
      <c r="F605" t="s">
        <v>80</v>
      </c>
      <c r="G605" t="s">
        <v>92</v>
      </c>
      <c r="H605" t="s">
        <v>46</v>
      </c>
      <c r="I605" t="s">
        <v>24</v>
      </c>
      <c r="J605" t="s">
        <v>25</v>
      </c>
      <c r="K605" s="6">
        <f t="shared" si="19"/>
        <v>1.2</v>
      </c>
      <c r="L605" t="s">
        <v>64</v>
      </c>
      <c r="M605">
        <f t="shared" si="18"/>
        <v>7</v>
      </c>
      <c r="N605" t="s">
        <v>104</v>
      </c>
      <c r="O605" t="s">
        <v>82</v>
      </c>
      <c r="P605" s="2">
        <v>507</v>
      </c>
      <c r="Q605" t="s">
        <v>104</v>
      </c>
      <c r="R605" t="s">
        <v>42</v>
      </c>
      <c r="S605" t="s">
        <v>58</v>
      </c>
      <c r="T605" t="s">
        <v>32</v>
      </c>
    </row>
    <row r="606" spans="1:20" x14ac:dyDescent="0.25">
      <c r="A606" s="2">
        <v>605</v>
      </c>
      <c r="B606" s="2">
        <v>83759</v>
      </c>
      <c r="C606" t="s">
        <v>19</v>
      </c>
      <c r="D606" t="s">
        <v>52</v>
      </c>
      <c r="E606" t="s">
        <v>44</v>
      </c>
      <c r="F606" t="s">
        <v>44</v>
      </c>
      <c r="G606" t="s">
        <v>98</v>
      </c>
      <c r="H606" t="s">
        <v>46</v>
      </c>
      <c r="I606" t="s">
        <v>38</v>
      </c>
      <c r="J606" t="s">
        <v>48</v>
      </c>
      <c r="K606" s="6">
        <f t="shared" si="19"/>
        <v>1</v>
      </c>
      <c r="L606" t="s">
        <v>49</v>
      </c>
      <c r="M606">
        <f t="shared" si="18"/>
        <v>3</v>
      </c>
      <c r="N606" t="s">
        <v>27</v>
      </c>
      <c r="O606" t="s">
        <v>65</v>
      </c>
      <c r="P606" s="2">
        <v>435</v>
      </c>
      <c r="Q606" t="s">
        <v>74</v>
      </c>
      <c r="R606" t="s">
        <v>42</v>
      </c>
      <c r="S606" t="s">
        <v>69</v>
      </c>
      <c r="T606" t="s">
        <v>43</v>
      </c>
    </row>
    <row r="607" spans="1:20" x14ac:dyDescent="0.25">
      <c r="A607" s="2">
        <v>606</v>
      </c>
      <c r="B607" s="2">
        <v>16425</v>
      </c>
      <c r="C607" t="s">
        <v>19</v>
      </c>
      <c r="D607" t="s">
        <v>52</v>
      </c>
      <c r="E607" t="s">
        <v>101</v>
      </c>
      <c r="F607" t="s">
        <v>80</v>
      </c>
      <c r="G607" t="s">
        <v>81</v>
      </c>
      <c r="H607" t="s">
        <v>23</v>
      </c>
      <c r="I607" t="s">
        <v>24</v>
      </c>
      <c r="J607" t="s">
        <v>25</v>
      </c>
      <c r="K607" s="6">
        <f t="shared" si="19"/>
        <v>0.6</v>
      </c>
      <c r="L607" t="s">
        <v>64</v>
      </c>
      <c r="M607">
        <f t="shared" si="18"/>
        <v>7</v>
      </c>
      <c r="N607" t="s">
        <v>40</v>
      </c>
      <c r="O607" t="s">
        <v>102</v>
      </c>
      <c r="P607" s="2">
        <v>736</v>
      </c>
      <c r="Q607" t="s">
        <v>29</v>
      </c>
      <c r="R607" t="s">
        <v>68</v>
      </c>
      <c r="S607" t="s">
        <v>50</v>
      </c>
      <c r="T607" t="s">
        <v>32</v>
      </c>
    </row>
    <row r="608" spans="1:20" x14ac:dyDescent="0.25">
      <c r="A608" s="2">
        <v>607</v>
      </c>
      <c r="B608" s="2">
        <v>39606</v>
      </c>
      <c r="C608" t="s">
        <v>19</v>
      </c>
      <c r="D608" t="s">
        <v>66</v>
      </c>
      <c r="E608" t="s">
        <v>44</v>
      </c>
      <c r="F608" t="s">
        <v>44</v>
      </c>
      <c r="G608" t="s">
        <v>36</v>
      </c>
      <c r="H608" t="s">
        <v>23</v>
      </c>
      <c r="I608" t="s">
        <v>47</v>
      </c>
      <c r="J608" t="s">
        <v>57</v>
      </c>
      <c r="K608" s="6">
        <f t="shared" si="19"/>
        <v>2.5</v>
      </c>
      <c r="L608" t="s">
        <v>64</v>
      </c>
      <c r="M608">
        <f t="shared" si="18"/>
        <v>7</v>
      </c>
      <c r="N608" t="s">
        <v>27</v>
      </c>
      <c r="O608" t="s">
        <v>72</v>
      </c>
      <c r="P608" s="2">
        <v>738</v>
      </c>
      <c r="Q608" t="s">
        <v>41</v>
      </c>
      <c r="R608" t="s">
        <v>30</v>
      </c>
      <c r="S608" t="s">
        <v>31</v>
      </c>
      <c r="T608" t="s">
        <v>43</v>
      </c>
    </row>
    <row r="609" spans="1:20" x14ac:dyDescent="0.25">
      <c r="A609" s="2">
        <v>608</v>
      </c>
      <c r="B609" s="2">
        <v>51942</v>
      </c>
      <c r="C609" t="s">
        <v>33</v>
      </c>
      <c r="D609" t="s">
        <v>52</v>
      </c>
      <c r="E609" t="s">
        <v>89</v>
      </c>
      <c r="F609" t="s">
        <v>90</v>
      </c>
      <c r="G609" t="s">
        <v>78</v>
      </c>
      <c r="H609" t="s">
        <v>46</v>
      </c>
      <c r="I609" t="s">
        <v>83</v>
      </c>
      <c r="J609" t="s">
        <v>48</v>
      </c>
      <c r="K609" s="6">
        <f t="shared" si="19"/>
        <v>0.55000000000000004</v>
      </c>
      <c r="L609" t="s">
        <v>64</v>
      </c>
      <c r="M609">
        <f t="shared" si="18"/>
        <v>7</v>
      </c>
      <c r="N609" t="s">
        <v>104</v>
      </c>
      <c r="O609" t="s">
        <v>28</v>
      </c>
      <c r="P609" s="2">
        <v>411</v>
      </c>
      <c r="Q609" t="s">
        <v>29</v>
      </c>
      <c r="R609" t="s">
        <v>68</v>
      </c>
      <c r="S609" t="s">
        <v>69</v>
      </c>
      <c r="T609" t="s">
        <v>59</v>
      </c>
    </row>
    <row r="610" spans="1:20" x14ac:dyDescent="0.25">
      <c r="A610" s="2">
        <v>609</v>
      </c>
      <c r="B610" s="2">
        <v>91315</v>
      </c>
      <c r="C610" t="s">
        <v>51</v>
      </c>
      <c r="D610" t="s">
        <v>66</v>
      </c>
      <c r="E610" t="s">
        <v>53</v>
      </c>
      <c r="F610" t="s">
        <v>54</v>
      </c>
      <c r="G610" t="s">
        <v>98</v>
      </c>
      <c r="H610" t="s">
        <v>71</v>
      </c>
      <c r="I610" t="s">
        <v>38</v>
      </c>
      <c r="J610" t="s">
        <v>57</v>
      </c>
      <c r="K610" s="6">
        <f t="shared" si="19"/>
        <v>1</v>
      </c>
      <c r="L610" t="s">
        <v>26</v>
      </c>
      <c r="M610">
        <f t="shared" si="18"/>
        <v>1</v>
      </c>
      <c r="N610" t="s">
        <v>40</v>
      </c>
      <c r="O610" t="s">
        <v>103</v>
      </c>
      <c r="P610" s="2">
        <v>370</v>
      </c>
      <c r="Q610" t="s">
        <v>29</v>
      </c>
      <c r="R610" t="s">
        <v>42</v>
      </c>
      <c r="S610" t="s">
        <v>58</v>
      </c>
      <c r="T610" t="s">
        <v>59</v>
      </c>
    </row>
    <row r="611" spans="1:20" x14ac:dyDescent="0.25">
      <c r="A611" s="2">
        <v>610</v>
      </c>
      <c r="B611" s="2">
        <v>19620</v>
      </c>
      <c r="C611" t="s">
        <v>51</v>
      </c>
      <c r="D611" t="s">
        <v>66</v>
      </c>
      <c r="E611" t="s">
        <v>20</v>
      </c>
      <c r="F611" t="s">
        <v>21</v>
      </c>
      <c r="G611" t="s">
        <v>92</v>
      </c>
      <c r="H611" t="s">
        <v>46</v>
      </c>
      <c r="I611" t="s">
        <v>67</v>
      </c>
      <c r="J611" t="s">
        <v>25</v>
      </c>
      <c r="K611" s="6">
        <f t="shared" si="19"/>
        <v>1.1000000000000001</v>
      </c>
      <c r="L611" t="s">
        <v>64</v>
      </c>
      <c r="M611">
        <f t="shared" si="18"/>
        <v>7</v>
      </c>
      <c r="N611" t="s">
        <v>27</v>
      </c>
      <c r="O611" t="s">
        <v>28</v>
      </c>
      <c r="P611" s="2">
        <v>256</v>
      </c>
      <c r="Q611" t="s">
        <v>29</v>
      </c>
      <c r="R611" t="s">
        <v>42</v>
      </c>
      <c r="S611" t="s">
        <v>58</v>
      </c>
      <c r="T611" t="s">
        <v>32</v>
      </c>
    </row>
    <row r="612" spans="1:20" x14ac:dyDescent="0.25">
      <c r="A612" s="2">
        <v>611</v>
      </c>
      <c r="B612" s="2">
        <v>81333</v>
      </c>
      <c r="C612" t="s">
        <v>33</v>
      </c>
      <c r="D612" t="s">
        <v>66</v>
      </c>
      <c r="E612" t="s">
        <v>99</v>
      </c>
      <c r="F612" t="s">
        <v>100</v>
      </c>
      <c r="G612" t="s">
        <v>36</v>
      </c>
      <c r="H612" t="s">
        <v>71</v>
      </c>
      <c r="I612" t="s">
        <v>47</v>
      </c>
      <c r="J612" t="s">
        <v>57</v>
      </c>
      <c r="K612" s="6">
        <f t="shared" si="19"/>
        <v>2.5</v>
      </c>
      <c r="L612" t="s">
        <v>64</v>
      </c>
      <c r="M612">
        <f t="shared" si="18"/>
        <v>7</v>
      </c>
      <c r="N612" t="s">
        <v>27</v>
      </c>
      <c r="O612" t="s">
        <v>65</v>
      </c>
      <c r="P612" s="2">
        <v>339</v>
      </c>
      <c r="Q612" t="s">
        <v>41</v>
      </c>
      <c r="R612" t="s">
        <v>30</v>
      </c>
      <c r="S612" t="s">
        <v>69</v>
      </c>
      <c r="T612" t="s">
        <v>32</v>
      </c>
    </row>
    <row r="613" spans="1:20" x14ac:dyDescent="0.25">
      <c r="A613" s="2">
        <v>612</v>
      </c>
      <c r="B613" s="2">
        <v>73736</v>
      </c>
      <c r="C613" t="s">
        <v>51</v>
      </c>
      <c r="D613" t="s">
        <v>66</v>
      </c>
      <c r="E613" t="s">
        <v>76</v>
      </c>
      <c r="F613" t="s">
        <v>77</v>
      </c>
      <c r="G613" t="s">
        <v>70</v>
      </c>
      <c r="H613" t="s">
        <v>73</v>
      </c>
      <c r="I613" t="s">
        <v>67</v>
      </c>
      <c r="J613" t="s">
        <v>57</v>
      </c>
      <c r="K613" s="6">
        <f t="shared" si="19"/>
        <v>2.2000000000000002</v>
      </c>
      <c r="L613" t="s">
        <v>64</v>
      </c>
      <c r="M613">
        <f t="shared" si="18"/>
        <v>7</v>
      </c>
      <c r="N613" t="s">
        <v>27</v>
      </c>
      <c r="O613" t="s">
        <v>103</v>
      </c>
      <c r="P613" s="2">
        <v>1096</v>
      </c>
      <c r="Q613" t="s">
        <v>74</v>
      </c>
      <c r="R613" t="s">
        <v>30</v>
      </c>
      <c r="S613" t="s">
        <v>31</v>
      </c>
      <c r="T613" t="s">
        <v>43</v>
      </c>
    </row>
    <row r="614" spans="1:20" x14ac:dyDescent="0.25">
      <c r="A614" s="2">
        <v>613</v>
      </c>
      <c r="B614" s="2">
        <v>24967</v>
      </c>
      <c r="C614" t="s">
        <v>33</v>
      </c>
      <c r="D614" t="s">
        <v>66</v>
      </c>
      <c r="E614" t="s">
        <v>61</v>
      </c>
      <c r="F614" t="s">
        <v>62</v>
      </c>
      <c r="G614" t="s">
        <v>81</v>
      </c>
      <c r="H614" t="s">
        <v>23</v>
      </c>
      <c r="I614" t="s">
        <v>83</v>
      </c>
      <c r="J614" t="s">
        <v>57</v>
      </c>
      <c r="K614" s="6">
        <f t="shared" si="19"/>
        <v>2.2000000000000002</v>
      </c>
      <c r="L614" t="s">
        <v>26</v>
      </c>
      <c r="M614">
        <f t="shared" si="18"/>
        <v>1</v>
      </c>
      <c r="N614" t="s">
        <v>40</v>
      </c>
      <c r="O614" t="s">
        <v>103</v>
      </c>
      <c r="P614" s="2">
        <v>834</v>
      </c>
      <c r="Q614" t="s">
        <v>74</v>
      </c>
      <c r="R614" t="s">
        <v>75</v>
      </c>
      <c r="S614" t="s">
        <v>31</v>
      </c>
      <c r="T614" t="s">
        <v>59</v>
      </c>
    </row>
    <row r="615" spans="1:20" x14ac:dyDescent="0.25">
      <c r="A615" s="2">
        <v>614</v>
      </c>
      <c r="B615" s="2">
        <v>23676</v>
      </c>
      <c r="C615" t="s">
        <v>19</v>
      </c>
      <c r="D615" t="s">
        <v>66</v>
      </c>
      <c r="E615" t="s">
        <v>95</v>
      </c>
      <c r="F615" t="s">
        <v>21</v>
      </c>
      <c r="G615" t="s">
        <v>78</v>
      </c>
      <c r="H615" t="s">
        <v>46</v>
      </c>
      <c r="I615" t="s">
        <v>56</v>
      </c>
      <c r="J615" t="s">
        <v>57</v>
      </c>
      <c r="K615" s="6">
        <f t="shared" si="19"/>
        <v>1.1000000000000001</v>
      </c>
      <c r="L615" t="s">
        <v>64</v>
      </c>
      <c r="M615">
        <f t="shared" si="18"/>
        <v>7</v>
      </c>
      <c r="N615" t="s">
        <v>40</v>
      </c>
      <c r="O615" t="s">
        <v>103</v>
      </c>
      <c r="P615" s="2">
        <v>514</v>
      </c>
      <c r="Q615" t="s">
        <v>74</v>
      </c>
      <c r="R615" t="s">
        <v>42</v>
      </c>
      <c r="S615" t="s">
        <v>31</v>
      </c>
      <c r="T615" t="s">
        <v>43</v>
      </c>
    </row>
    <row r="616" spans="1:20" x14ac:dyDescent="0.25">
      <c r="A616" s="2">
        <v>615</v>
      </c>
      <c r="B616" s="2">
        <v>90759</v>
      </c>
      <c r="C616" t="s">
        <v>60</v>
      </c>
      <c r="D616" t="s">
        <v>52</v>
      </c>
      <c r="E616" t="s">
        <v>99</v>
      </c>
      <c r="F616" t="s">
        <v>100</v>
      </c>
      <c r="G616" t="s">
        <v>70</v>
      </c>
      <c r="H616" t="s">
        <v>23</v>
      </c>
      <c r="I616" t="s">
        <v>56</v>
      </c>
      <c r="J616" t="s">
        <v>39</v>
      </c>
      <c r="K616" s="6">
        <f t="shared" si="19"/>
        <v>2.2000000000000002</v>
      </c>
      <c r="L616" t="s">
        <v>64</v>
      </c>
      <c r="M616">
        <f t="shared" si="18"/>
        <v>7</v>
      </c>
      <c r="N616" t="s">
        <v>40</v>
      </c>
      <c r="O616" t="s">
        <v>28</v>
      </c>
      <c r="P616" s="2">
        <v>655</v>
      </c>
      <c r="Q616" t="s">
        <v>104</v>
      </c>
      <c r="R616" t="s">
        <v>30</v>
      </c>
      <c r="S616" t="s">
        <v>31</v>
      </c>
      <c r="T616" t="s">
        <v>32</v>
      </c>
    </row>
    <row r="617" spans="1:20" x14ac:dyDescent="0.25">
      <c r="A617" s="2">
        <v>616</v>
      </c>
      <c r="B617" s="2">
        <v>49578</v>
      </c>
      <c r="C617" t="s">
        <v>33</v>
      </c>
      <c r="D617" t="s">
        <v>66</v>
      </c>
      <c r="E617" t="s">
        <v>89</v>
      </c>
      <c r="F617" t="s">
        <v>90</v>
      </c>
      <c r="G617" t="s">
        <v>36</v>
      </c>
      <c r="H617" t="s">
        <v>46</v>
      </c>
      <c r="I617" t="s">
        <v>24</v>
      </c>
      <c r="J617" t="s">
        <v>39</v>
      </c>
      <c r="K617" s="6">
        <f t="shared" si="19"/>
        <v>1.2</v>
      </c>
      <c r="L617" t="s">
        <v>64</v>
      </c>
      <c r="M617">
        <f t="shared" si="18"/>
        <v>7</v>
      </c>
      <c r="N617" t="s">
        <v>104</v>
      </c>
      <c r="O617" t="s">
        <v>103</v>
      </c>
      <c r="P617" s="2">
        <v>309</v>
      </c>
      <c r="Q617" t="s">
        <v>74</v>
      </c>
      <c r="R617" t="s">
        <v>42</v>
      </c>
      <c r="S617" t="s">
        <v>58</v>
      </c>
      <c r="T617" t="s">
        <v>59</v>
      </c>
    </row>
    <row r="618" spans="1:20" x14ac:dyDescent="0.25">
      <c r="A618" s="2">
        <v>617</v>
      </c>
      <c r="B618" s="2">
        <v>30029</v>
      </c>
      <c r="C618" t="s">
        <v>60</v>
      </c>
      <c r="D618" t="s">
        <v>66</v>
      </c>
      <c r="E618" t="s">
        <v>99</v>
      </c>
      <c r="F618" t="s">
        <v>100</v>
      </c>
      <c r="G618" t="s">
        <v>92</v>
      </c>
      <c r="H618" t="s">
        <v>37</v>
      </c>
      <c r="I618" t="s">
        <v>47</v>
      </c>
      <c r="J618" t="s">
        <v>48</v>
      </c>
      <c r="K618" s="6">
        <f t="shared" si="19"/>
        <v>0.625</v>
      </c>
      <c r="L618" t="s">
        <v>64</v>
      </c>
      <c r="M618">
        <f t="shared" si="18"/>
        <v>7</v>
      </c>
      <c r="N618" t="s">
        <v>27</v>
      </c>
      <c r="O618" t="s">
        <v>72</v>
      </c>
      <c r="P618" s="2">
        <v>2589</v>
      </c>
      <c r="Q618" t="s">
        <v>29</v>
      </c>
      <c r="R618" t="s">
        <v>68</v>
      </c>
      <c r="S618" t="s">
        <v>31</v>
      </c>
      <c r="T618" t="s">
        <v>32</v>
      </c>
    </row>
    <row r="619" spans="1:20" x14ac:dyDescent="0.25">
      <c r="A619" s="2">
        <v>618</v>
      </c>
      <c r="B619" s="2">
        <v>47168</v>
      </c>
      <c r="C619" t="s">
        <v>60</v>
      </c>
      <c r="D619" t="s">
        <v>66</v>
      </c>
      <c r="E619" t="s">
        <v>53</v>
      </c>
      <c r="F619" t="s">
        <v>54</v>
      </c>
      <c r="G619" t="s">
        <v>45</v>
      </c>
      <c r="H619" t="s">
        <v>46</v>
      </c>
      <c r="I619" t="s">
        <v>83</v>
      </c>
      <c r="J619" t="s">
        <v>25</v>
      </c>
      <c r="K619" s="6">
        <f t="shared" si="19"/>
        <v>1.1000000000000001</v>
      </c>
      <c r="L619" t="s">
        <v>26</v>
      </c>
      <c r="M619">
        <f t="shared" si="18"/>
        <v>1</v>
      </c>
      <c r="N619" t="s">
        <v>27</v>
      </c>
      <c r="O619" t="s">
        <v>28</v>
      </c>
      <c r="P619" s="2">
        <v>261</v>
      </c>
      <c r="Q619" t="s">
        <v>74</v>
      </c>
      <c r="R619" t="s">
        <v>42</v>
      </c>
      <c r="S619" t="s">
        <v>31</v>
      </c>
      <c r="T619" t="s">
        <v>59</v>
      </c>
    </row>
    <row r="620" spans="1:20" x14ac:dyDescent="0.25">
      <c r="A620" s="2">
        <v>619</v>
      </c>
      <c r="B620" s="2">
        <v>84275</v>
      </c>
      <c r="C620" t="s">
        <v>60</v>
      </c>
      <c r="D620" t="s">
        <v>66</v>
      </c>
      <c r="E620" t="s">
        <v>34</v>
      </c>
      <c r="F620" t="s">
        <v>35</v>
      </c>
      <c r="G620" t="s">
        <v>78</v>
      </c>
      <c r="H620" t="s">
        <v>37</v>
      </c>
      <c r="I620" t="s">
        <v>24</v>
      </c>
      <c r="J620" t="s">
        <v>57</v>
      </c>
      <c r="K620" s="6">
        <f t="shared" si="19"/>
        <v>1.2</v>
      </c>
      <c r="L620" t="s">
        <v>64</v>
      </c>
      <c r="M620">
        <f t="shared" si="18"/>
        <v>7</v>
      </c>
      <c r="N620" t="s">
        <v>27</v>
      </c>
      <c r="O620" t="s">
        <v>28</v>
      </c>
      <c r="P620" s="2">
        <v>1899</v>
      </c>
      <c r="Q620" t="s">
        <v>74</v>
      </c>
      <c r="R620" t="s">
        <v>42</v>
      </c>
      <c r="S620" t="s">
        <v>69</v>
      </c>
      <c r="T620" t="s">
        <v>43</v>
      </c>
    </row>
    <row r="621" spans="1:20" x14ac:dyDescent="0.25">
      <c r="A621" s="2">
        <v>620</v>
      </c>
      <c r="B621" s="2">
        <v>68290</v>
      </c>
      <c r="C621" t="s">
        <v>51</v>
      </c>
      <c r="D621" t="s">
        <v>66</v>
      </c>
      <c r="E621" t="s">
        <v>44</v>
      </c>
      <c r="F621" t="s">
        <v>44</v>
      </c>
      <c r="G621" t="s">
        <v>78</v>
      </c>
      <c r="H621" t="s">
        <v>23</v>
      </c>
      <c r="I621" t="s">
        <v>91</v>
      </c>
      <c r="J621" t="s">
        <v>86</v>
      </c>
      <c r="K621" s="6">
        <f t="shared" si="19"/>
        <v>2.2000000000000002</v>
      </c>
      <c r="L621" t="s">
        <v>64</v>
      </c>
      <c r="M621">
        <f t="shared" si="18"/>
        <v>7</v>
      </c>
      <c r="N621" t="s">
        <v>104</v>
      </c>
      <c r="O621" t="s">
        <v>102</v>
      </c>
      <c r="P621" s="2">
        <v>483</v>
      </c>
      <c r="Q621" t="s">
        <v>104</v>
      </c>
      <c r="R621" t="s">
        <v>30</v>
      </c>
      <c r="S621" t="s">
        <v>31</v>
      </c>
      <c r="T621" t="s">
        <v>43</v>
      </c>
    </row>
    <row r="622" spans="1:20" x14ac:dyDescent="0.25">
      <c r="A622" s="2">
        <v>621</v>
      </c>
      <c r="B622" s="2">
        <v>78934</v>
      </c>
      <c r="C622" t="s">
        <v>19</v>
      </c>
      <c r="D622" t="s">
        <v>66</v>
      </c>
      <c r="E622" t="s">
        <v>76</v>
      </c>
      <c r="F622" t="s">
        <v>77</v>
      </c>
      <c r="G622" t="s">
        <v>78</v>
      </c>
      <c r="H622" t="s">
        <v>46</v>
      </c>
      <c r="I622" t="s">
        <v>67</v>
      </c>
      <c r="J622" t="s">
        <v>57</v>
      </c>
      <c r="K622" s="6">
        <f t="shared" si="19"/>
        <v>2.2000000000000002</v>
      </c>
      <c r="L622" t="s">
        <v>49</v>
      </c>
      <c r="M622">
        <f t="shared" si="18"/>
        <v>3</v>
      </c>
      <c r="N622" t="s">
        <v>27</v>
      </c>
      <c r="O622" t="s">
        <v>82</v>
      </c>
      <c r="P622" s="2">
        <v>458</v>
      </c>
      <c r="Q622" t="s">
        <v>29</v>
      </c>
      <c r="R622" t="s">
        <v>75</v>
      </c>
      <c r="S622" t="s">
        <v>69</v>
      </c>
      <c r="T622" t="s">
        <v>43</v>
      </c>
    </row>
    <row r="623" spans="1:20" x14ac:dyDescent="0.25">
      <c r="A623" s="2">
        <v>622</v>
      </c>
      <c r="B623" s="2">
        <v>15332</v>
      </c>
      <c r="C623" t="s">
        <v>33</v>
      </c>
      <c r="D623" t="s">
        <v>66</v>
      </c>
      <c r="E623" t="s">
        <v>53</v>
      </c>
      <c r="F623" t="s">
        <v>54</v>
      </c>
      <c r="G623" t="s">
        <v>92</v>
      </c>
      <c r="H623" t="s">
        <v>23</v>
      </c>
      <c r="I623" t="s">
        <v>56</v>
      </c>
      <c r="J623" t="s">
        <v>86</v>
      </c>
      <c r="K623" s="6">
        <f t="shared" si="19"/>
        <v>2.2000000000000002</v>
      </c>
      <c r="L623" t="s">
        <v>64</v>
      </c>
      <c r="M623">
        <f t="shared" si="18"/>
        <v>7</v>
      </c>
      <c r="N623" t="s">
        <v>104</v>
      </c>
      <c r="O623" t="s">
        <v>103</v>
      </c>
      <c r="P623" s="2">
        <v>627</v>
      </c>
      <c r="Q623" t="s">
        <v>41</v>
      </c>
      <c r="R623" t="s">
        <v>30</v>
      </c>
      <c r="S623" t="s">
        <v>69</v>
      </c>
      <c r="T623" t="s">
        <v>59</v>
      </c>
    </row>
    <row r="624" spans="1:20" x14ac:dyDescent="0.25">
      <c r="A624" s="2">
        <v>623</v>
      </c>
      <c r="B624" s="2">
        <v>82161</v>
      </c>
      <c r="C624" t="s">
        <v>51</v>
      </c>
      <c r="D624" t="s">
        <v>52</v>
      </c>
      <c r="E624" t="s">
        <v>101</v>
      </c>
      <c r="F624" t="s">
        <v>80</v>
      </c>
      <c r="G624" t="s">
        <v>63</v>
      </c>
      <c r="H624" t="s">
        <v>73</v>
      </c>
      <c r="I624" t="s">
        <v>83</v>
      </c>
      <c r="J624" t="s">
        <v>39</v>
      </c>
      <c r="K624" s="6">
        <f t="shared" si="19"/>
        <v>0.55000000000000004</v>
      </c>
      <c r="L624" t="s">
        <v>64</v>
      </c>
      <c r="M624">
        <f t="shared" si="18"/>
        <v>7</v>
      </c>
      <c r="N624" t="s">
        <v>40</v>
      </c>
      <c r="O624" t="s">
        <v>103</v>
      </c>
      <c r="P624" s="2">
        <v>1327</v>
      </c>
      <c r="Q624" t="s">
        <v>41</v>
      </c>
      <c r="R624" t="s">
        <v>68</v>
      </c>
      <c r="S624" t="s">
        <v>58</v>
      </c>
      <c r="T624" t="s">
        <v>32</v>
      </c>
    </row>
    <row r="625" spans="1:20" x14ac:dyDescent="0.25">
      <c r="A625" s="2">
        <v>624</v>
      </c>
      <c r="B625" s="2">
        <v>57715</v>
      </c>
      <c r="C625" t="s">
        <v>19</v>
      </c>
      <c r="D625" t="s">
        <v>66</v>
      </c>
      <c r="E625" t="s">
        <v>97</v>
      </c>
      <c r="F625" t="s">
        <v>62</v>
      </c>
      <c r="G625" t="s">
        <v>81</v>
      </c>
      <c r="H625" t="s">
        <v>46</v>
      </c>
      <c r="I625" t="s">
        <v>47</v>
      </c>
      <c r="J625" t="s">
        <v>25</v>
      </c>
      <c r="K625" s="6">
        <f t="shared" si="19"/>
        <v>2.5</v>
      </c>
      <c r="L625" t="s">
        <v>49</v>
      </c>
      <c r="M625">
        <f t="shared" si="18"/>
        <v>3</v>
      </c>
      <c r="N625" t="s">
        <v>27</v>
      </c>
      <c r="O625" t="s">
        <v>28</v>
      </c>
      <c r="P625" s="2">
        <v>500</v>
      </c>
      <c r="Q625" t="s">
        <v>41</v>
      </c>
      <c r="R625" t="s">
        <v>75</v>
      </c>
      <c r="S625" t="s">
        <v>31</v>
      </c>
      <c r="T625" t="s">
        <v>59</v>
      </c>
    </row>
    <row r="626" spans="1:20" x14ac:dyDescent="0.25">
      <c r="A626" s="2">
        <v>625</v>
      </c>
      <c r="B626" s="2">
        <v>85946</v>
      </c>
      <c r="C626" t="s">
        <v>60</v>
      </c>
      <c r="D626" t="s">
        <v>66</v>
      </c>
      <c r="E626" t="s">
        <v>53</v>
      </c>
      <c r="F626" t="s">
        <v>54</v>
      </c>
      <c r="G626" t="s">
        <v>45</v>
      </c>
      <c r="H626" t="s">
        <v>23</v>
      </c>
      <c r="I626" t="s">
        <v>24</v>
      </c>
      <c r="J626" t="s">
        <v>57</v>
      </c>
      <c r="K626" s="6">
        <f t="shared" si="19"/>
        <v>2.4</v>
      </c>
      <c r="L626" t="s">
        <v>64</v>
      </c>
      <c r="M626">
        <f t="shared" si="18"/>
        <v>7</v>
      </c>
      <c r="N626" t="s">
        <v>40</v>
      </c>
      <c r="O626" t="s">
        <v>82</v>
      </c>
      <c r="P626" s="2">
        <v>680</v>
      </c>
      <c r="Q626" t="s">
        <v>74</v>
      </c>
      <c r="R626" t="s">
        <v>30</v>
      </c>
      <c r="S626" t="s">
        <v>69</v>
      </c>
      <c r="T626" t="s">
        <v>59</v>
      </c>
    </row>
    <row r="627" spans="1:20" x14ac:dyDescent="0.25">
      <c r="A627" s="2">
        <v>626</v>
      </c>
      <c r="B627" s="2">
        <v>54901</v>
      </c>
      <c r="C627" t="s">
        <v>60</v>
      </c>
      <c r="D627" t="s">
        <v>52</v>
      </c>
      <c r="E627" t="s">
        <v>84</v>
      </c>
      <c r="F627" t="s">
        <v>85</v>
      </c>
      <c r="G627" t="s">
        <v>22</v>
      </c>
      <c r="H627" t="s">
        <v>23</v>
      </c>
      <c r="I627" t="s">
        <v>83</v>
      </c>
      <c r="J627" t="s">
        <v>57</v>
      </c>
      <c r="K627" s="6">
        <f t="shared" si="19"/>
        <v>2.2000000000000002</v>
      </c>
      <c r="L627" t="s">
        <v>64</v>
      </c>
      <c r="M627">
        <f t="shared" si="18"/>
        <v>7</v>
      </c>
      <c r="N627" t="s">
        <v>27</v>
      </c>
      <c r="O627" t="s">
        <v>102</v>
      </c>
      <c r="P627" s="2">
        <v>469</v>
      </c>
      <c r="Q627" t="s">
        <v>104</v>
      </c>
      <c r="R627" t="s">
        <v>30</v>
      </c>
      <c r="S627" t="s">
        <v>31</v>
      </c>
      <c r="T627" t="s">
        <v>32</v>
      </c>
    </row>
    <row r="628" spans="1:20" x14ac:dyDescent="0.25">
      <c r="A628" s="2">
        <v>627</v>
      </c>
      <c r="B628" s="2">
        <v>41823</v>
      </c>
      <c r="C628" t="s">
        <v>51</v>
      </c>
      <c r="D628" t="s">
        <v>66</v>
      </c>
      <c r="E628" t="s">
        <v>84</v>
      </c>
      <c r="F628" t="s">
        <v>85</v>
      </c>
      <c r="G628" t="s">
        <v>78</v>
      </c>
      <c r="H628" t="s">
        <v>46</v>
      </c>
      <c r="I628" t="s">
        <v>24</v>
      </c>
      <c r="J628" t="s">
        <v>57</v>
      </c>
      <c r="K628" s="6">
        <f t="shared" si="19"/>
        <v>0.6</v>
      </c>
      <c r="L628" t="s">
        <v>64</v>
      </c>
      <c r="M628">
        <f t="shared" si="18"/>
        <v>7</v>
      </c>
      <c r="N628" t="s">
        <v>40</v>
      </c>
      <c r="O628" t="s">
        <v>72</v>
      </c>
      <c r="P628" s="2">
        <v>459</v>
      </c>
      <c r="Q628" t="s">
        <v>29</v>
      </c>
      <c r="R628" t="s">
        <v>68</v>
      </c>
      <c r="S628" t="s">
        <v>69</v>
      </c>
      <c r="T628" t="s">
        <v>32</v>
      </c>
    </row>
    <row r="629" spans="1:20" x14ac:dyDescent="0.25">
      <c r="A629" s="2">
        <v>628</v>
      </c>
      <c r="B629" s="2">
        <v>63723</v>
      </c>
      <c r="C629" t="s">
        <v>96</v>
      </c>
      <c r="D629" t="s">
        <v>66</v>
      </c>
      <c r="E629" t="s">
        <v>53</v>
      </c>
      <c r="F629" t="s">
        <v>54</v>
      </c>
      <c r="G629" t="s">
        <v>36</v>
      </c>
      <c r="H629" t="s">
        <v>37</v>
      </c>
      <c r="I629" t="s">
        <v>94</v>
      </c>
      <c r="J629" t="s">
        <v>57</v>
      </c>
      <c r="K629" s="6">
        <f t="shared" si="19"/>
        <v>1.5</v>
      </c>
      <c r="L629" t="s">
        <v>64</v>
      </c>
      <c r="M629">
        <f t="shared" si="18"/>
        <v>7</v>
      </c>
      <c r="N629" t="s">
        <v>27</v>
      </c>
      <c r="O629" t="s">
        <v>28</v>
      </c>
      <c r="P629" s="2">
        <v>2163</v>
      </c>
      <c r="Q629" t="s">
        <v>74</v>
      </c>
      <c r="R629" t="s">
        <v>30</v>
      </c>
      <c r="S629" t="s">
        <v>50</v>
      </c>
      <c r="T629" t="s">
        <v>59</v>
      </c>
    </row>
    <row r="630" spans="1:20" x14ac:dyDescent="0.25">
      <c r="A630" s="2">
        <v>629</v>
      </c>
      <c r="B630" s="2">
        <v>60587</v>
      </c>
      <c r="C630" t="s">
        <v>60</v>
      </c>
      <c r="D630" t="s">
        <v>52</v>
      </c>
      <c r="E630" t="s">
        <v>79</v>
      </c>
      <c r="F630" t="s">
        <v>80</v>
      </c>
      <c r="G630" t="s">
        <v>36</v>
      </c>
      <c r="H630" t="s">
        <v>23</v>
      </c>
      <c r="I630" t="s">
        <v>24</v>
      </c>
      <c r="J630" t="s">
        <v>25</v>
      </c>
      <c r="K630" s="6">
        <f t="shared" si="19"/>
        <v>2.4</v>
      </c>
      <c r="L630" t="s">
        <v>64</v>
      </c>
      <c r="M630">
        <f t="shared" si="18"/>
        <v>7</v>
      </c>
      <c r="N630" t="s">
        <v>104</v>
      </c>
      <c r="O630" t="s">
        <v>72</v>
      </c>
      <c r="P630" s="2">
        <v>532</v>
      </c>
      <c r="Q630" t="s">
        <v>104</v>
      </c>
      <c r="R630" t="s">
        <v>75</v>
      </c>
      <c r="S630" t="s">
        <v>31</v>
      </c>
      <c r="T630" t="s">
        <v>43</v>
      </c>
    </row>
    <row r="631" spans="1:20" x14ac:dyDescent="0.25">
      <c r="A631" s="2">
        <v>630</v>
      </c>
      <c r="B631" s="2">
        <v>66508</v>
      </c>
      <c r="C631" t="s">
        <v>19</v>
      </c>
      <c r="D631" t="s">
        <v>66</v>
      </c>
      <c r="E631" t="s">
        <v>89</v>
      </c>
      <c r="F631" t="s">
        <v>90</v>
      </c>
      <c r="G631" t="s">
        <v>78</v>
      </c>
      <c r="H631" t="s">
        <v>23</v>
      </c>
      <c r="I631" t="s">
        <v>67</v>
      </c>
      <c r="J631" t="s">
        <v>57</v>
      </c>
      <c r="K631" s="6">
        <f t="shared" si="19"/>
        <v>0.55000000000000004</v>
      </c>
      <c r="L631" t="s">
        <v>64</v>
      </c>
      <c r="M631">
        <f t="shared" si="18"/>
        <v>7</v>
      </c>
      <c r="N631" t="s">
        <v>40</v>
      </c>
      <c r="O631" t="s">
        <v>72</v>
      </c>
      <c r="P631" s="2">
        <v>481</v>
      </c>
      <c r="Q631" t="s">
        <v>29</v>
      </c>
      <c r="R631" t="s">
        <v>68</v>
      </c>
      <c r="S631" t="s">
        <v>31</v>
      </c>
      <c r="T631" t="s">
        <v>59</v>
      </c>
    </row>
    <row r="632" spans="1:20" x14ac:dyDescent="0.25">
      <c r="A632" s="2">
        <v>631</v>
      </c>
      <c r="B632" s="2">
        <v>36316</v>
      </c>
      <c r="C632" t="s">
        <v>33</v>
      </c>
      <c r="D632" t="s">
        <v>66</v>
      </c>
      <c r="E632" t="s">
        <v>84</v>
      </c>
      <c r="F632" t="s">
        <v>85</v>
      </c>
      <c r="G632" t="s">
        <v>63</v>
      </c>
      <c r="H632" t="s">
        <v>23</v>
      </c>
      <c r="I632" t="s">
        <v>94</v>
      </c>
      <c r="J632" t="s">
        <v>57</v>
      </c>
      <c r="K632" s="6">
        <f t="shared" si="19"/>
        <v>0.375</v>
      </c>
      <c r="L632" t="s">
        <v>26</v>
      </c>
      <c r="M632">
        <f t="shared" si="18"/>
        <v>1</v>
      </c>
      <c r="N632" t="s">
        <v>40</v>
      </c>
      <c r="O632" t="s">
        <v>103</v>
      </c>
      <c r="P632" s="2">
        <v>628</v>
      </c>
      <c r="Q632" t="s">
        <v>41</v>
      </c>
      <c r="R632" t="s">
        <v>68</v>
      </c>
      <c r="S632" t="s">
        <v>58</v>
      </c>
      <c r="T632" t="s">
        <v>32</v>
      </c>
    </row>
    <row r="633" spans="1:20" x14ac:dyDescent="0.25">
      <c r="A633" s="2">
        <v>632</v>
      </c>
      <c r="B633" s="2">
        <v>61618</v>
      </c>
      <c r="C633" t="s">
        <v>51</v>
      </c>
      <c r="D633" t="s">
        <v>66</v>
      </c>
      <c r="E633" t="s">
        <v>53</v>
      </c>
      <c r="F633" t="s">
        <v>54</v>
      </c>
      <c r="G633" t="s">
        <v>98</v>
      </c>
      <c r="H633" t="s">
        <v>23</v>
      </c>
      <c r="I633" t="s">
        <v>94</v>
      </c>
      <c r="J633" t="s">
        <v>57</v>
      </c>
      <c r="K633" s="6">
        <f t="shared" si="19"/>
        <v>1.5</v>
      </c>
      <c r="L633" t="s">
        <v>26</v>
      </c>
      <c r="M633">
        <f t="shared" si="18"/>
        <v>1</v>
      </c>
      <c r="N633" t="s">
        <v>27</v>
      </c>
      <c r="O633" t="s">
        <v>28</v>
      </c>
      <c r="P633" s="2">
        <v>525</v>
      </c>
      <c r="Q633" t="s">
        <v>74</v>
      </c>
      <c r="R633" t="s">
        <v>30</v>
      </c>
      <c r="S633" t="s">
        <v>31</v>
      </c>
      <c r="T633" t="s">
        <v>59</v>
      </c>
    </row>
    <row r="634" spans="1:20" x14ac:dyDescent="0.25">
      <c r="A634" s="2">
        <v>633</v>
      </c>
      <c r="B634" s="2">
        <v>69260</v>
      </c>
      <c r="C634" t="s">
        <v>33</v>
      </c>
      <c r="D634" t="s">
        <v>52</v>
      </c>
      <c r="E634" t="s">
        <v>20</v>
      </c>
      <c r="F634" t="s">
        <v>21</v>
      </c>
      <c r="G634" t="s">
        <v>98</v>
      </c>
      <c r="H634" t="s">
        <v>73</v>
      </c>
      <c r="I634" t="s">
        <v>38</v>
      </c>
      <c r="J634" t="s">
        <v>57</v>
      </c>
      <c r="K634" s="6">
        <f t="shared" si="19"/>
        <v>0.5</v>
      </c>
      <c r="L634" t="s">
        <v>49</v>
      </c>
      <c r="M634">
        <f t="shared" si="18"/>
        <v>3</v>
      </c>
      <c r="N634" t="s">
        <v>27</v>
      </c>
      <c r="O634" t="s">
        <v>102</v>
      </c>
      <c r="P634" s="2">
        <v>1106</v>
      </c>
      <c r="Q634" t="s">
        <v>41</v>
      </c>
      <c r="R634" t="s">
        <v>68</v>
      </c>
      <c r="S634" t="s">
        <v>58</v>
      </c>
      <c r="T634" t="s">
        <v>32</v>
      </c>
    </row>
    <row r="635" spans="1:20" x14ac:dyDescent="0.25">
      <c r="A635" s="2">
        <v>634</v>
      </c>
      <c r="B635" s="2">
        <v>85814</v>
      </c>
      <c r="C635" t="s">
        <v>60</v>
      </c>
      <c r="D635" t="s">
        <v>52</v>
      </c>
      <c r="E635" t="s">
        <v>95</v>
      </c>
      <c r="F635" t="s">
        <v>21</v>
      </c>
      <c r="G635" t="s">
        <v>55</v>
      </c>
      <c r="H635" t="s">
        <v>23</v>
      </c>
      <c r="I635" t="s">
        <v>24</v>
      </c>
      <c r="J635" t="s">
        <v>25</v>
      </c>
      <c r="K635" s="6">
        <f t="shared" si="19"/>
        <v>0.6</v>
      </c>
      <c r="L635" t="s">
        <v>64</v>
      </c>
      <c r="M635">
        <f t="shared" si="18"/>
        <v>7</v>
      </c>
      <c r="N635" t="s">
        <v>40</v>
      </c>
      <c r="O635" t="s">
        <v>28</v>
      </c>
      <c r="P635" s="2">
        <v>503</v>
      </c>
      <c r="Q635" t="s">
        <v>104</v>
      </c>
      <c r="R635" t="s">
        <v>68</v>
      </c>
      <c r="S635" t="s">
        <v>50</v>
      </c>
      <c r="T635" t="s">
        <v>43</v>
      </c>
    </row>
    <row r="636" spans="1:20" x14ac:dyDescent="0.25">
      <c r="A636" s="2">
        <v>635</v>
      </c>
      <c r="B636" s="2">
        <v>64794</v>
      </c>
      <c r="C636" t="s">
        <v>19</v>
      </c>
      <c r="D636" t="s">
        <v>66</v>
      </c>
      <c r="E636" t="s">
        <v>95</v>
      </c>
      <c r="F636" t="s">
        <v>21</v>
      </c>
      <c r="G636" t="s">
        <v>22</v>
      </c>
      <c r="H636" t="s">
        <v>37</v>
      </c>
      <c r="I636" t="s">
        <v>38</v>
      </c>
      <c r="J636" t="s">
        <v>25</v>
      </c>
      <c r="K636" s="6">
        <f t="shared" si="19"/>
        <v>1</v>
      </c>
      <c r="L636" t="s">
        <v>26</v>
      </c>
      <c r="M636">
        <f t="shared" si="18"/>
        <v>1</v>
      </c>
      <c r="N636" t="s">
        <v>104</v>
      </c>
      <c r="O636" t="s">
        <v>103</v>
      </c>
      <c r="P636" s="2">
        <v>1722</v>
      </c>
      <c r="Q636" t="s">
        <v>74</v>
      </c>
      <c r="R636" t="s">
        <v>42</v>
      </c>
      <c r="S636" t="s">
        <v>58</v>
      </c>
      <c r="T636" t="s">
        <v>43</v>
      </c>
    </row>
    <row r="637" spans="1:20" x14ac:dyDescent="0.25">
      <c r="A637" s="2">
        <v>636</v>
      </c>
      <c r="B637" s="2">
        <v>33442</v>
      </c>
      <c r="C637" t="s">
        <v>96</v>
      </c>
      <c r="D637" t="s">
        <v>66</v>
      </c>
      <c r="E637" t="s">
        <v>99</v>
      </c>
      <c r="F637" t="s">
        <v>100</v>
      </c>
      <c r="G637" t="s">
        <v>55</v>
      </c>
      <c r="H637" t="s">
        <v>71</v>
      </c>
      <c r="I637" t="s">
        <v>56</v>
      </c>
      <c r="J637" t="s">
        <v>39</v>
      </c>
      <c r="K637" s="6">
        <f t="shared" si="19"/>
        <v>2.2000000000000002</v>
      </c>
      <c r="L637" t="s">
        <v>49</v>
      </c>
      <c r="M637">
        <f t="shared" si="18"/>
        <v>3</v>
      </c>
      <c r="N637" t="s">
        <v>27</v>
      </c>
      <c r="O637" t="s">
        <v>103</v>
      </c>
      <c r="P637" s="2">
        <v>330</v>
      </c>
      <c r="Q637" t="s">
        <v>104</v>
      </c>
      <c r="R637" t="s">
        <v>30</v>
      </c>
      <c r="S637" t="s">
        <v>50</v>
      </c>
      <c r="T637" t="s">
        <v>32</v>
      </c>
    </row>
    <row r="638" spans="1:20" x14ac:dyDescent="0.25">
      <c r="A638" s="2">
        <v>637</v>
      </c>
      <c r="B638" s="2">
        <v>22494</v>
      </c>
      <c r="C638" t="s">
        <v>51</v>
      </c>
      <c r="D638" t="s">
        <v>66</v>
      </c>
      <c r="E638" t="s">
        <v>34</v>
      </c>
      <c r="F638" t="s">
        <v>35</v>
      </c>
      <c r="G638" t="s">
        <v>81</v>
      </c>
      <c r="H638" t="s">
        <v>46</v>
      </c>
      <c r="I638" t="s">
        <v>83</v>
      </c>
      <c r="J638" t="s">
        <v>57</v>
      </c>
      <c r="K638" s="6">
        <f t="shared" si="19"/>
        <v>0.55000000000000004</v>
      </c>
      <c r="L638" t="s">
        <v>64</v>
      </c>
      <c r="M638">
        <f t="shared" si="18"/>
        <v>7</v>
      </c>
      <c r="N638" t="s">
        <v>104</v>
      </c>
      <c r="O638" t="s">
        <v>65</v>
      </c>
      <c r="P638" s="2">
        <v>471</v>
      </c>
      <c r="Q638" t="s">
        <v>41</v>
      </c>
      <c r="R638" t="s">
        <v>68</v>
      </c>
      <c r="S638" t="s">
        <v>58</v>
      </c>
      <c r="T638" t="s">
        <v>43</v>
      </c>
    </row>
    <row r="639" spans="1:20" x14ac:dyDescent="0.25">
      <c r="A639" s="2">
        <v>638</v>
      </c>
      <c r="B639" s="2">
        <v>51297</v>
      </c>
      <c r="C639" t="s">
        <v>33</v>
      </c>
      <c r="D639" t="s">
        <v>66</v>
      </c>
      <c r="E639" t="s">
        <v>79</v>
      </c>
      <c r="F639" t="s">
        <v>80</v>
      </c>
      <c r="G639" t="s">
        <v>36</v>
      </c>
      <c r="H639" t="s">
        <v>73</v>
      </c>
      <c r="I639" t="s">
        <v>47</v>
      </c>
      <c r="J639" t="s">
        <v>48</v>
      </c>
      <c r="K639" s="6">
        <f t="shared" si="19"/>
        <v>2.5</v>
      </c>
      <c r="L639" t="s">
        <v>64</v>
      </c>
      <c r="M639">
        <f t="shared" si="18"/>
        <v>7</v>
      </c>
      <c r="N639" t="s">
        <v>27</v>
      </c>
      <c r="O639" t="s">
        <v>28</v>
      </c>
      <c r="P639" s="2">
        <v>1337</v>
      </c>
      <c r="Q639" t="s">
        <v>41</v>
      </c>
      <c r="R639" t="s">
        <v>30</v>
      </c>
      <c r="S639" t="s">
        <v>58</v>
      </c>
      <c r="T639" t="s">
        <v>43</v>
      </c>
    </row>
    <row r="640" spans="1:20" x14ac:dyDescent="0.25">
      <c r="A640" s="2">
        <v>639</v>
      </c>
      <c r="B640" s="2">
        <v>87927</v>
      </c>
      <c r="C640" t="s">
        <v>33</v>
      </c>
      <c r="D640" t="s">
        <v>66</v>
      </c>
      <c r="E640" t="s">
        <v>101</v>
      </c>
      <c r="F640" t="s">
        <v>80</v>
      </c>
      <c r="G640" t="s">
        <v>98</v>
      </c>
      <c r="H640" t="s">
        <v>46</v>
      </c>
      <c r="I640" t="s">
        <v>91</v>
      </c>
      <c r="J640" t="s">
        <v>57</v>
      </c>
      <c r="K640" s="6">
        <f t="shared" si="19"/>
        <v>2.2000000000000002</v>
      </c>
      <c r="L640" t="s">
        <v>49</v>
      </c>
      <c r="M640">
        <f t="shared" si="18"/>
        <v>3</v>
      </c>
      <c r="N640" t="s">
        <v>27</v>
      </c>
      <c r="O640" t="s">
        <v>28</v>
      </c>
      <c r="P640" s="2">
        <v>592</v>
      </c>
      <c r="Q640" t="s">
        <v>74</v>
      </c>
      <c r="R640" t="s">
        <v>30</v>
      </c>
      <c r="S640" t="s">
        <v>50</v>
      </c>
      <c r="T640" t="s">
        <v>32</v>
      </c>
    </row>
    <row r="641" spans="1:20" x14ac:dyDescent="0.25">
      <c r="A641" s="2">
        <v>640</v>
      </c>
      <c r="B641" s="2">
        <v>12348</v>
      </c>
      <c r="C641" t="s">
        <v>33</v>
      </c>
      <c r="D641" t="s">
        <v>66</v>
      </c>
      <c r="E641" t="s">
        <v>97</v>
      </c>
      <c r="F641" t="s">
        <v>62</v>
      </c>
      <c r="G641" t="s">
        <v>63</v>
      </c>
      <c r="H641" t="s">
        <v>23</v>
      </c>
      <c r="I641" t="s">
        <v>91</v>
      </c>
      <c r="J641" t="s">
        <v>57</v>
      </c>
      <c r="K641" s="6">
        <f t="shared" si="19"/>
        <v>2.2000000000000002</v>
      </c>
      <c r="L641" t="s">
        <v>49</v>
      </c>
      <c r="M641">
        <f t="shared" si="18"/>
        <v>3</v>
      </c>
      <c r="N641" t="s">
        <v>40</v>
      </c>
      <c r="O641" t="s">
        <v>65</v>
      </c>
      <c r="P641" s="2">
        <v>436</v>
      </c>
      <c r="Q641" t="s">
        <v>29</v>
      </c>
      <c r="R641" t="s">
        <v>75</v>
      </c>
      <c r="S641" t="s">
        <v>69</v>
      </c>
      <c r="T641" t="s">
        <v>59</v>
      </c>
    </row>
    <row r="642" spans="1:20" x14ac:dyDescent="0.25">
      <c r="A642" s="2">
        <v>641</v>
      </c>
      <c r="B642" s="2">
        <v>38688</v>
      </c>
      <c r="C642" t="s">
        <v>19</v>
      </c>
      <c r="D642" t="s">
        <v>52</v>
      </c>
      <c r="E642" t="s">
        <v>95</v>
      </c>
      <c r="F642" t="s">
        <v>21</v>
      </c>
      <c r="G642" t="s">
        <v>55</v>
      </c>
      <c r="H642" t="s">
        <v>37</v>
      </c>
      <c r="I642" t="s">
        <v>24</v>
      </c>
      <c r="J642" t="s">
        <v>25</v>
      </c>
      <c r="K642" s="6">
        <f t="shared" si="19"/>
        <v>2.4</v>
      </c>
      <c r="L642" t="s">
        <v>64</v>
      </c>
      <c r="M642">
        <f t="shared" ref="M642:M705" si="20">IF(L642="daily",7,IF(L642="weekly",3,1))</f>
        <v>7</v>
      </c>
      <c r="N642" t="s">
        <v>40</v>
      </c>
      <c r="O642" t="s">
        <v>103</v>
      </c>
      <c r="P642" s="2">
        <v>2607</v>
      </c>
      <c r="Q642" t="s">
        <v>41</v>
      </c>
      <c r="R642" t="s">
        <v>30</v>
      </c>
      <c r="S642" t="s">
        <v>50</v>
      </c>
      <c r="T642" t="s">
        <v>43</v>
      </c>
    </row>
    <row r="643" spans="1:20" x14ac:dyDescent="0.25">
      <c r="A643" s="2">
        <v>642</v>
      </c>
      <c r="B643" s="2">
        <v>45680</v>
      </c>
      <c r="C643" t="s">
        <v>51</v>
      </c>
      <c r="D643" t="s">
        <v>52</v>
      </c>
      <c r="E643" t="s">
        <v>89</v>
      </c>
      <c r="F643" t="s">
        <v>90</v>
      </c>
      <c r="G643" t="s">
        <v>45</v>
      </c>
      <c r="H643" t="s">
        <v>71</v>
      </c>
      <c r="I643" t="s">
        <v>91</v>
      </c>
      <c r="J643" t="s">
        <v>57</v>
      </c>
      <c r="K643" s="6">
        <f t="shared" ref="K643:K706" si="21">IF(R643="Morning",2,IF(R643="Night",2,IF(R643="Evening",1,0.5)))
*
IF(I643="Espresso",0.75,IF(I643="Cold Brew",1.25,IF(I643="Filter Coffee",1.2,IF(I643="Instant Coffee",1,1.1))))</f>
        <v>0.55000000000000004</v>
      </c>
      <c r="L643" t="s">
        <v>49</v>
      </c>
      <c r="M643">
        <f t="shared" si="20"/>
        <v>3</v>
      </c>
      <c r="N643" t="s">
        <v>27</v>
      </c>
      <c r="O643" t="s">
        <v>103</v>
      </c>
      <c r="P643" s="2">
        <v>216</v>
      </c>
      <c r="Q643" t="s">
        <v>74</v>
      </c>
      <c r="R643" t="s">
        <v>68</v>
      </c>
      <c r="S643" t="s">
        <v>69</v>
      </c>
      <c r="T643" t="s">
        <v>59</v>
      </c>
    </row>
    <row r="644" spans="1:20" x14ac:dyDescent="0.25">
      <c r="A644" s="2">
        <v>643</v>
      </c>
      <c r="B644" s="2">
        <v>91891</v>
      </c>
      <c r="C644" t="s">
        <v>60</v>
      </c>
      <c r="D644" t="s">
        <v>66</v>
      </c>
      <c r="E644" t="s">
        <v>79</v>
      </c>
      <c r="F644" t="s">
        <v>80</v>
      </c>
      <c r="G644" t="s">
        <v>36</v>
      </c>
      <c r="H644" t="s">
        <v>73</v>
      </c>
      <c r="I644" t="s">
        <v>24</v>
      </c>
      <c r="J644" t="s">
        <v>25</v>
      </c>
      <c r="K644" s="6">
        <f t="shared" si="21"/>
        <v>2.4</v>
      </c>
      <c r="L644" t="s">
        <v>64</v>
      </c>
      <c r="M644">
        <f t="shared" si="20"/>
        <v>7</v>
      </c>
      <c r="N644" t="s">
        <v>27</v>
      </c>
      <c r="O644" t="s">
        <v>28</v>
      </c>
      <c r="P644" s="2">
        <v>902</v>
      </c>
      <c r="Q644" t="s">
        <v>104</v>
      </c>
      <c r="R644" t="s">
        <v>75</v>
      </c>
      <c r="S644" t="s">
        <v>58</v>
      </c>
      <c r="T644" t="s">
        <v>43</v>
      </c>
    </row>
    <row r="645" spans="1:20" x14ac:dyDescent="0.25">
      <c r="A645" s="2">
        <v>644</v>
      </c>
      <c r="B645" s="2">
        <v>89635</v>
      </c>
      <c r="C645" t="s">
        <v>51</v>
      </c>
      <c r="D645" t="s">
        <v>52</v>
      </c>
      <c r="E645" t="s">
        <v>89</v>
      </c>
      <c r="F645" t="s">
        <v>90</v>
      </c>
      <c r="G645" t="s">
        <v>22</v>
      </c>
      <c r="H645" t="s">
        <v>23</v>
      </c>
      <c r="I645" t="s">
        <v>47</v>
      </c>
      <c r="J645" t="s">
        <v>25</v>
      </c>
      <c r="K645" s="6">
        <f t="shared" si="21"/>
        <v>0.625</v>
      </c>
      <c r="L645" t="s">
        <v>64</v>
      </c>
      <c r="M645">
        <f t="shared" si="20"/>
        <v>7</v>
      </c>
      <c r="N645" t="s">
        <v>27</v>
      </c>
      <c r="O645" t="s">
        <v>103</v>
      </c>
      <c r="P645" s="2">
        <v>658</v>
      </c>
      <c r="Q645" t="s">
        <v>104</v>
      </c>
      <c r="R645" t="s">
        <v>68</v>
      </c>
      <c r="S645" t="s">
        <v>58</v>
      </c>
      <c r="T645" t="s">
        <v>59</v>
      </c>
    </row>
    <row r="646" spans="1:20" x14ac:dyDescent="0.25">
      <c r="A646" s="2">
        <v>645</v>
      </c>
      <c r="B646" s="2">
        <v>22904</v>
      </c>
      <c r="C646" t="s">
        <v>51</v>
      </c>
      <c r="D646" t="s">
        <v>52</v>
      </c>
      <c r="E646" t="s">
        <v>93</v>
      </c>
      <c r="F646" t="s">
        <v>62</v>
      </c>
      <c r="G646" t="s">
        <v>98</v>
      </c>
      <c r="H646" t="s">
        <v>46</v>
      </c>
      <c r="I646" t="s">
        <v>67</v>
      </c>
      <c r="J646" t="s">
        <v>25</v>
      </c>
      <c r="K646" s="6">
        <f t="shared" si="21"/>
        <v>1.1000000000000001</v>
      </c>
      <c r="L646" t="s">
        <v>49</v>
      </c>
      <c r="M646">
        <f t="shared" si="20"/>
        <v>3</v>
      </c>
      <c r="N646" t="s">
        <v>27</v>
      </c>
      <c r="O646" t="s">
        <v>28</v>
      </c>
      <c r="P646" s="2">
        <v>490</v>
      </c>
      <c r="Q646" t="s">
        <v>104</v>
      </c>
      <c r="R646" t="s">
        <v>42</v>
      </c>
      <c r="S646" t="s">
        <v>31</v>
      </c>
      <c r="T646" t="s">
        <v>43</v>
      </c>
    </row>
    <row r="647" spans="1:20" x14ac:dyDescent="0.25">
      <c r="A647" s="2">
        <v>646</v>
      </c>
      <c r="B647" s="2">
        <v>46716</v>
      </c>
      <c r="C647" t="s">
        <v>33</v>
      </c>
      <c r="D647" t="s">
        <v>66</v>
      </c>
      <c r="E647" t="s">
        <v>95</v>
      </c>
      <c r="F647" t="s">
        <v>21</v>
      </c>
      <c r="G647" t="s">
        <v>81</v>
      </c>
      <c r="H647" t="s">
        <v>23</v>
      </c>
      <c r="I647" t="s">
        <v>47</v>
      </c>
      <c r="J647" t="s">
        <v>48</v>
      </c>
      <c r="K647" s="6">
        <f t="shared" si="21"/>
        <v>0.625</v>
      </c>
      <c r="L647" t="s">
        <v>49</v>
      </c>
      <c r="M647">
        <f t="shared" si="20"/>
        <v>3</v>
      </c>
      <c r="N647" t="s">
        <v>27</v>
      </c>
      <c r="O647" t="s">
        <v>103</v>
      </c>
      <c r="P647" s="2">
        <v>512</v>
      </c>
      <c r="Q647" t="s">
        <v>74</v>
      </c>
      <c r="R647" t="s">
        <v>68</v>
      </c>
      <c r="S647" t="s">
        <v>31</v>
      </c>
      <c r="T647" t="s">
        <v>43</v>
      </c>
    </row>
    <row r="648" spans="1:20" x14ac:dyDescent="0.25">
      <c r="A648" s="2">
        <v>647</v>
      </c>
      <c r="B648" s="2">
        <v>37393</v>
      </c>
      <c r="C648" t="s">
        <v>19</v>
      </c>
      <c r="D648" t="s">
        <v>66</v>
      </c>
      <c r="E648" t="s">
        <v>93</v>
      </c>
      <c r="F648" t="s">
        <v>62</v>
      </c>
      <c r="G648" t="s">
        <v>78</v>
      </c>
      <c r="H648" t="s">
        <v>46</v>
      </c>
      <c r="I648" t="s">
        <v>38</v>
      </c>
      <c r="J648" t="s">
        <v>25</v>
      </c>
      <c r="K648" s="6">
        <f t="shared" si="21"/>
        <v>2</v>
      </c>
      <c r="L648" t="s">
        <v>64</v>
      </c>
      <c r="M648">
        <f t="shared" si="20"/>
        <v>7</v>
      </c>
      <c r="N648" t="s">
        <v>27</v>
      </c>
      <c r="O648" t="s">
        <v>102</v>
      </c>
      <c r="P648" s="2">
        <v>475</v>
      </c>
      <c r="Q648" t="s">
        <v>74</v>
      </c>
      <c r="R648" t="s">
        <v>30</v>
      </c>
      <c r="S648" t="s">
        <v>69</v>
      </c>
      <c r="T648" t="s">
        <v>43</v>
      </c>
    </row>
    <row r="649" spans="1:20" x14ac:dyDescent="0.25">
      <c r="A649" s="2">
        <v>648</v>
      </c>
      <c r="B649" s="2">
        <v>99114</v>
      </c>
      <c r="C649" t="s">
        <v>33</v>
      </c>
      <c r="D649" t="s">
        <v>52</v>
      </c>
      <c r="E649" t="s">
        <v>84</v>
      </c>
      <c r="F649" t="s">
        <v>85</v>
      </c>
      <c r="G649" t="s">
        <v>36</v>
      </c>
      <c r="H649" t="s">
        <v>37</v>
      </c>
      <c r="I649" t="s">
        <v>47</v>
      </c>
      <c r="J649" t="s">
        <v>57</v>
      </c>
      <c r="K649" s="6">
        <f t="shared" si="21"/>
        <v>2.5</v>
      </c>
      <c r="L649" t="s">
        <v>64</v>
      </c>
      <c r="M649">
        <f t="shared" si="20"/>
        <v>7</v>
      </c>
      <c r="N649" t="s">
        <v>104</v>
      </c>
      <c r="O649" t="s">
        <v>103</v>
      </c>
      <c r="P649" s="2">
        <v>1734</v>
      </c>
      <c r="Q649" t="s">
        <v>74</v>
      </c>
      <c r="R649" t="s">
        <v>30</v>
      </c>
      <c r="S649" t="s">
        <v>69</v>
      </c>
      <c r="T649" t="s">
        <v>32</v>
      </c>
    </row>
    <row r="650" spans="1:20" x14ac:dyDescent="0.25">
      <c r="A650" s="2">
        <v>649</v>
      </c>
      <c r="B650" s="2">
        <v>28873</v>
      </c>
      <c r="C650" t="s">
        <v>33</v>
      </c>
      <c r="D650" t="s">
        <v>66</v>
      </c>
      <c r="E650" t="s">
        <v>76</v>
      </c>
      <c r="F650" t="s">
        <v>77</v>
      </c>
      <c r="G650" t="s">
        <v>55</v>
      </c>
      <c r="H650" t="s">
        <v>37</v>
      </c>
      <c r="I650" t="s">
        <v>67</v>
      </c>
      <c r="J650" t="s">
        <v>57</v>
      </c>
      <c r="K650" s="6">
        <f t="shared" si="21"/>
        <v>2.2000000000000002</v>
      </c>
      <c r="L650" t="s">
        <v>26</v>
      </c>
      <c r="M650">
        <f t="shared" si="20"/>
        <v>1</v>
      </c>
      <c r="N650" t="s">
        <v>27</v>
      </c>
      <c r="O650" t="s">
        <v>65</v>
      </c>
      <c r="P650" s="2">
        <v>1896</v>
      </c>
      <c r="Q650" t="s">
        <v>29</v>
      </c>
      <c r="R650" t="s">
        <v>75</v>
      </c>
      <c r="S650" t="s">
        <v>31</v>
      </c>
      <c r="T650" t="s">
        <v>43</v>
      </c>
    </row>
    <row r="651" spans="1:20" x14ac:dyDescent="0.25">
      <c r="A651" s="2">
        <v>650</v>
      </c>
      <c r="B651" s="2">
        <v>77098</v>
      </c>
      <c r="C651" t="s">
        <v>19</v>
      </c>
      <c r="D651" t="s">
        <v>52</v>
      </c>
      <c r="E651" t="s">
        <v>53</v>
      </c>
      <c r="F651" t="s">
        <v>54</v>
      </c>
      <c r="G651" t="s">
        <v>98</v>
      </c>
      <c r="H651" t="s">
        <v>73</v>
      </c>
      <c r="I651" t="s">
        <v>83</v>
      </c>
      <c r="J651" t="s">
        <v>57</v>
      </c>
      <c r="K651" s="6">
        <f t="shared" si="21"/>
        <v>0.55000000000000004</v>
      </c>
      <c r="L651" t="s">
        <v>64</v>
      </c>
      <c r="M651">
        <f t="shared" si="20"/>
        <v>7</v>
      </c>
      <c r="N651" t="s">
        <v>40</v>
      </c>
      <c r="O651" t="s">
        <v>103</v>
      </c>
      <c r="P651" s="2">
        <v>1152</v>
      </c>
      <c r="Q651" t="s">
        <v>41</v>
      </c>
      <c r="R651" t="s">
        <v>68</v>
      </c>
      <c r="S651" t="s">
        <v>58</v>
      </c>
      <c r="T651" t="s">
        <v>59</v>
      </c>
    </row>
    <row r="652" spans="1:20" x14ac:dyDescent="0.25">
      <c r="A652" s="2">
        <v>651</v>
      </c>
      <c r="B652" s="2">
        <v>28793</v>
      </c>
      <c r="C652" t="s">
        <v>19</v>
      </c>
      <c r="D652" t="s">
        <v>66</v>
      </c>
      <c r="E652" t="s">
        <v>97</v>
      </c>
      <c r="F652" t="s">
        <v>62</v>
      </c>
      <c r="G652" t="s">
        <v>55</v>
      </c>
      <c r="H652" t="s">
        <v>46</v>
      </c>
      <c r="I652" t="s">
        <v>56</v>
      </c>
      <c r="J652" t="s">
        <v>57</v>
      </c>
      <c r="K652" s="6">
        <f t="shared" si="21"/>
        <v>0.55000000000000004</v>
      </c>
      <c r="L652" t="s">
        <v>64</v>
      </c>
      <c r="M652">
        <f t="shared" si="20"/>
        <v>7</v>
      </c>
      <c r="N652" t="s">
        <v>27</v>
      </c>
      <c r="O652" t="s">
        <v>103</v>
      </c>
      <c r="P652" s="2">
        <v>290</v>
      </c>
      <c r="Q652" t="s">
        <v>41</v>
      </c>
      <c r="R652" t="s">
        <v>68</v>
      </c>
      <c r="S652" t="s">
        <v>31</v>
      </c>
      <c r="T652" t="s">
        <v>59</v>
      </c>
    </row>
    <row r="653" spans="1:20" x14ac:dyDescent="0.25">
      <c r="A653" s="2">
        <v>652</v>
      </c>
      <c r="B653" s="2">
        <v>93266</v>
      </c>
      <c r="C653" t="s">
        <v>60</v>
      </c>
      <c r="D653" t="s">
        <v>52</v>
      </c>
      <c r="E653" t="s">
        <v>20</v>
      </c>
      <c r="F653" t="s">
        <v>21</v>
      </c>
      <c r="G653" t="s">
        <v>78</v>
      </c>
      <c r="H653" t="s">
        <v>46</v>
      </c>
      <c r="I653" t="s">
        <v>24</v>
      </c>
      <c r="J653" t="s">
        <v>25</v>
      </c>
      <c r="K653" s="6">
        <f t="shared" si="21"/>
        <v>2.4</v>
      </c>
      <c r="L653" t="s">
        <v>64</v>
      </c>
      <c r="M653">
        <f t="shared" si="20"/>
        <v>7</v>
      </c>
      <c r="N653" t="s">
        <v>40</v>
      </c>
      <c r="O653" t="s">
        <v>82</v>
      </c>
      <c r="P653" s="2">
        <v>472</v>
      </c>
      <c r="Q653" t="s">
        <v>29</v>
      </c>
      <c r="R653" t="s">
        <v>75</v>
      </c>
      <c r="S653" t="s">
        <v>69</v>
      </c>
      <c r="T653" t="s">
        <v>32</v>
      </c>
    </row>
    <row r="654" spans="1:20" x14ac:dyDescent="0.25">
      <c r="A654" s="2">
        <v>653</v>
      </c>
      <c r="B654" s="2">
        <v>81012</v>
      </c>
      <c r="C654" t="s">
        <v>60</v>
      </c>
      <c r="D654" t="s">
        <v>66</v>
      </c>
      <c r="E654" t="s">
        <v>61</v>
      </c>
      <c r="F654" t="s">
        <v>62</v>
      </c>
      <c r="G654" t="s">
        <v>78</v>
      </c>
      <c r="H654" t="s">
        <v>71</v>
      </c>
      <c r="I654" t="s">
        <v>94</v>
      </c>
      <c r="J654" t="s">
        <v>57</v>
      </c>
      <c r="K654" s="6">
        <f t="shared" si="21"/>
        <v>0.375</v>
      </c>
      <c r="L654" t="s">
        <v>64</v>
      </c>
      <c r="M654">
        <f t="shared" si="20"/>
        <v>7</v>
      </c>
      <c r="N654" t="s">
        <v>40</v>
      </c>
      <c r="O654" t="s">
        <v>103</v>
      </c>
      <c r="P654" s="2">
        <v>301</v>
      </c>
      <c r="Q654" t="s">
        <v>74</v>
      </c>
      <c r="R654" t="s">
        <v>68</v>
      </c>
      <c r="S654" t="s">
        <v>58</v>
      </c>
      <c r="T654" t="s">
        <v>59</v>
      </c>
    </row>
    <row r="655" spans="1:20" x14ac:dyDescent="0.25">
      <c r="A655" s="2">
        <v>654</v>
      </c>
      <c r="B655" s="2">
        <v>84499</v>
      </c>
      <c r="C655" t="s">
        <v>60</v>
      </c>
      <c r="D655" t="s">
        <v>66</v>
      </c>
      <c r="E655" t="s">
        <v>53</v>
      </c>
      <c r="F655" t="s">
        <v>54</v>
      </c>
      <c r="G655" t="s">
        <v>63</v>
      </c>
      <c r="H655" t="s">
        <v>46</v>
      </c>
      <c r="I655" t="s">
        <v>67</v>
      </c>
      <c r="J655" t="s">
        <v>57</v>
      </c>
      <c r="K655" s="6">
        <f t="shared" si="21"/>
        <v>2.2000000000000002</v>
      </c>
      <c r="L655" t="s">
        <v>64</v>
      </c>
      <c r="M655">
        <f t="shared" si="20"/>
        <v>7</v>
      </c>
      <c r="N655" t="s">
        <v>27</v>
      </c>
      <c r="O655" t="s">
        <v>103</v>
      </c>
      <c r="P655" s="2">
        <v>599</v>
      </c>
      <c r="Q655" t="s">
        <v>41</v>
      </c>
      <c r="R655" t="s">
        <v>75</v>
      </c>
      <c r="S655" t="s">
        <v>31</v>
      </c>
      <c r="T655" t="s">
        <v>59</v>
      </c>
    </row>
    <row r="656" spans="1:20" x14ac:dyDescent="0.25">
      <c r="A656" s="2">
        <v>655</v>
      </c>
      <c r="B656" s="2">
        <v>22320</v>
      </c>
      <c r="C656" t="s">
        <v>33</v>
      </c>
      <c r="D656" t="s">
        <v>52</v>
      </c>
      <c r="E656" t="s">
        <v>20</v>
      </c>
      <c r="F656" t="s">
        <v>21</v>
      </c>
      <c r="G656" t="s">
        <v>70</v>
      </c>
      <c r="H656" t="s">
        <v>46</v>
      </c>
      <c r="I656" t="s">
        <v>47</v>
      </c>
      <c r="J656" t="s">
        <v>48</v>
      </c>
      <c r="K656" s="6">
        <f t="shared" si="21"/>
        <v>2.5</v>
      </c>
      <c r="L656" t="s">
        <v>64</v>
      </c>
      <c r="M656">
        <f t="shared" si="20"/>
        <v>7</v>
      </c>
      <c r="N656" t="s">
        <v>27</v>
      </c>
      <c r="O656" t="s">
        <v>28</v>
      </c>
      <c r="P656" s="2">
        <v>291</v>
      </c>
      <c r="Q656" t="s">
        <v>104</v>
      </c>
      <c r="R656" t="s">
        <v>30</v>
      </c>
      <c r="S656" t="s">
        <v>31</v>
      </c>
      <c r="T656" t="s">
        <v>32</v>
      </c>
    </row>
    <row r="657" spans="1:20" x14ac:dyDescent="0.25">
      <c r="A657" s="2">
        <v>656</v>
      </c>
      <c r="B657" s="2">
        <v>59752</v>
      </c>
      <c r="C657" t="s">
        <v>19</v>
      </c>
      <c r="D657" t="s">
        <v>52</v>
      </c>
      <c r="E657" t="s">
        <v>101</v>
      </c>
      <c r="F657" t="s">
        <v>80</v>
      </c>
      <c r="G657" t="s">
        <v>22</v>
      </c>
      <c r="H657" t="s">
        <v>46</v>
      </c>
      <c r="I657" t="s">
        <v>56</v>
      </c>
      <c r="J657" t="s">
        <v>57</v>
      </c>
      <c r="K657" s="6">
        <f t="shared" si="21"/>
        <v>1.1000000000000001</v>
      </c>
      <c r="L657" t="s">
        <v>64</v>
      </c>
      <c r="M657">
        <f t="shared" si="20"/>
        <v>7</v>
      </c>
      <c r="N657" t="s">
        <v>40</v>
      </c>
      <c r="O657" t="s">
        <v>28</v>
      </c>
      <c r="P657" s="2">
        <v>519</v>
      </c>
      <c r="Q657" t="s">
        <v>104</v>
      </c>
      <c r="R657" t="s">
        <v>42</v>
      </c>
      <c r="S657" t="s">
        <v>58</v>
      </c>
      <c r="T657" t="s">
        <v>32</v>
      </c>
    </row>
    <row r="658" spans="1:20" x14ac:dyDescent="0.25">
      <c r="A658" s="2">
        <v>657</v>
      </c>
      <c r="B658" s="2">
        <v>70383</v>
      </c>
      <c r="C658" t="s">
        <v>19</v>
      </c>
      <c r="D658" t="s">
        <v>52</v>
      </c>
      <c r="E658" t="s">
        <v>97</v>
      </c>
      <c r="F658" t="s">
        <v>62</v>
      </c>
      <c r="G658" t="s">
        <v>36</v>
      </c>
      <c r="H658" t="s">
        <v>46</v>
      </c>
      <c r="I658" t="s">
        <v>67</v>
      </c>
      <c r="J658" t="s">
        <v>57</v>
      </c>
      <c r="K658" s="6">
        <f t="shared" si="21"/>
        <v>1.1000000000000001</v>
      </c>
      <c r="L658" t="s">
        <v>64</v>
      </c>
      <c r="M658">
        <f t="shared" si="20"/>
        <v>7</v>
      </c>
      <c r="N658" t="s">
        <v>40</v>
      </c>
      <c r="O658" t="s">
        <v>72</v>
      </c>
      <c r="P658" s="2">
        <v>408</v>
      </c>
      <c r="Q658" t="s">
        <v>41</v>
      </c>
      <c r="R658" t="s">
        <v>42</v>
      </c>
      <c r="S658" t="s">
        <v>31</v>
      </c>
      <c r="T658" t="s">
        <v>59</v>
      </c>
    </row>
    <row r="659" spans="1:20" x14ac:dyDescent="0.25">
      <c r="A659" s="2">
        <v>658</v>
      </c>
      <c r="B659" s="2">
        <v>46301</v>
      </c>
      <c r="C659" t="s">
        <v>19</v>
      </c>
      <c r="D659" t="s">
        <v>52</v>
      </c>
      <c r="E659" t="s">
        <v>95</v>
      </c>
      <c r="F659" t="s">
        <v>21</v>
      </c>
      <c r="G659" t="s">
        <v>98</v>
      </c>
      <c r="H659" t="s">
        <v>46</v>
      </c>
      <c r="I659" t="s">
        <v>24</v>
      </c>
      <c r="J659" t="s">
        <v>25</v>
      </c>
      <c r="K659" s="6">
        <f t="shared" si="21"/>
        <v>2.4</v>
      </c>
      <c r="L659" t="s">
        <v>26</v>
      </c>
      <c r="M659">
        <f t="shared" si="20"/>
        <v>1</v>
      </c>
      <c r="N659" t="s">
        <v>40</v>
      </c>
      <c r="O659" t="s">
        <v>72</v>
      </c>
      <c r="P659" s="2">
        <v>344</v>
      </c>
      <c r="Q659" t="s">
        <v>41</v>
      </c>
      <c r="R659" t="s">
        <v>30</v>
      </c>
      <c r="S659" t="s">
        <v>69</v>
      </c>
      <c r="T659" t="s">
        <v>43</v>
      </c>
    </row>
    <row r="660" spans="1:20" x14ac:dyDescent="0.25">
      <c r="A660" s="2">
        <v>659</v>
      </c>
      <c r="B660" s="2">
        <v>76580</v>
      </c>
      <c r="C660" t="s">
        <v>33</v>
      </c>
      <c r="D660" t="s">
        <v>52</v>
      </c>
      <c r="E660" t="s">
        <v>99</v>
      </c>
      <c r="F660" t="s">
        <v>100</v>
      </c>
      <c r="G660" t="s">
        <v>22</v>
      </c>
      <c r="H660" t="s">
        <v>73</v>
      </c>
      <c r="I660" t="s">
        <v>47</v>
      </c>
      <c r="J660" t="s">
        <v>48</v>
      </c>
      <c r="K660" s="6">
        <f t="shared" si="21"/>
        <v>2.5</v>
      </c>
      <c r="L660" t="s">
        <v>64</v>
      </c>
      <c r="M660">
        <f t="shared" si="20"/>
        <v>7</v>
      </c>
      <c r="N660" t="s">
        <v>40</v>
      </c>
      <c r="O660" t="s">
        <v>103</v>
      </c>
      <c r="P660" s="2">
        <v>1260</v>
      </c>
      <c r="Q660" t="s">
        <v>104</v>
      </c>
      <c r="R660" t="s">
        <v>30</v>
      </c>
      <c r="S660" t="s">
        <v>69</v>
      </c>
      <c r="T660" t="s">
        <v>32</v>
      </c>
    </row>
    <row r="661" spans="1:20" x14ac:dyDescent="0.25">
      <c r="A661" s="2">
        <v>660</v>
      </c>
      <c r="B661" s="2">
        <v>67777</v>
      </c>
      <c r="C661" t="s">
        <v>51</v>
      </c>
      <c r="D661" t="s">
        <v>66</v>
      </c>
      <c r="E661" t="s">
        <v>53</v>
      </c>
      <c r="F661" t="s">
        <v>54</v>
      </c>
      <c r="G661" t="s">
        <v>45</v>
      </c>
      <c r="H661" t="s">
        <v>46</v>
      </c>
      <c r="I661" t="s">
        <v>83</v>
      </c>
      <c r="J661" t="s">
        <v>57</v>
      </c>
      <c r="K661" s="6">
        <f t="shared" si="21"/>
        <v>2.2000000000000002</v>
      </c>
      <c r="L661" t="s">
        <v>64</v>
      </c>
      <c r="M661">
        <f t="shared" si="20"/>
        <v>7</v>
      </c>
      <c r="N661" t="s">
        <v>27</v>
      </c>
      <c r="O661" t="s">
        <v>28</v>
      </c>
      <c r="P661" s="2">
        <v>481</v>
      </c>
      <c r="Q661" t="s">
        <v>104</v>
      </c>
      <c r="R661" t="s">
        <v>75</v>
      </c>
      <c r="S661" t="s">
        <v>50</v>
      </c>
      <c r="T661" t="s">
        <v>59</v>
      </c>
    </row>
    <row r="662" spans="1:20" x14ac:dyDescent="0.25">
      <c r="A662" s="2">
        <v>661</v>
      </c>
      <c r="B662" s="2">
        <v>28947</v>
      </c>
      <c r="C662" t="s">
        <v>33</v>
      </c>
      <c r="D662" t="s">
        <v>66</v>
      </c>
      <c r="E662" t="s">
        <v>44</v>
      </c>
      <c r="F662" t="s">
        <v>44</v>
      </c>
      <c r="G662" t="s">
        <v>45</v>
      </c>
      <c r="H662" t="s">
        <v>23</v>
      </c>
      <c r="I662" t="s">
        <v>56</v>
      </c>
      <c r="J662" t="s">
        <v>57</v>
      </c>
      <c r="K662" s="6">
        <f t="shared" si="21"/>
        <v>2.2000000000000002</v>
      </c>
      <c r="L662" t="s">
        <v>26</v>
      </c>
      <c r="M662">
        <f t="shared" si="20"/>
        <v>1</v>
      </c>
      <c r="N662" t="s">
        <v>27</v>
      </c>
      <c r="O662" t="s">
        <v>72</v>
      </c>
      <c r="P662" s="2">
        <v>595</v>
      </c>
      <c r="Q662" t="s">
        <v>104</v>
      </c>
      <c r="R662" t="s">
        <v>75</v>
      </c>
      <c r="S662" t="s">
        <v>31</v>
      </c>
      <c r="T662" t="s">
        <v>43</v>
      </c>
    </row>
    <row r="663" spans="1:20" x14ac:dyDescent="0.25">
      <c r="A663" s="2">
        <v>662</v>
      </c>
      <c r="B663" s="2">
        <v>18197</v>
      </c>
      <c r="C663" t="s">
        <v>96</v>
      </c>
      <c r="D663" t="s">
        <v>52</v>
      </c>
      <c r="E663" t="s">
        <v>101</v>
      </c>
      <c r="F663" t="s">
        <v>80</v>
      </c>
      <c r="G663" t="s">
        <v>98</v>
      </c>
      <c r="H663" t="s">
        <v>23</v>
      </c>
      <c r="I663" t="s">
        <v>24</v>
      </c>
      <c r="J663" t="s">
        <v>25</v>
      </c>
      <c r="K663" s="6">
        <f t="shared" si="21"/>
        <v>2.4</v>
      </c>
      <c r="L663" t="s">
        <v>64</v>
      </c>
      <c r="M663">
        <f t="shared" si="20"/>
        <v>7</v>
      </c>
      <c r="N663" t="s">
        <v>40</v>
      </c>
      <c r="O663" t="s">
        <v>103</v>
      </c>
      <c r="P663" s="2">
        <v>561</v>
      </c>
      <c r="Q663" t="s">
        <v>104</v>
      </c>
      <c r="R663" t="s">
        <v>75</v>
      </c>
      <c r="S663" t="s">
        <v>69</v>
      </c>
      <c r="T663" t="s">
        <v>32</v>
      </c>
    </row>
    <row r="664" spans="1:20" x14ac:dyDescent="0.25">
      <c r="A664" s="2">
        <v>663</v>
      </c>
      <c r="B664" s="2">
        <v>30580</v>
      </c>
      <c r="C664" t="s">
        <v>60</v>
      </c>
      <c r="D664" t="s">
        <v>52</v>
      </c>
      <c r="E664" t="s">
        <v>61</v>
      </c>
      <c r="F664" t="s">
        <v>62</v>
      </c>
      <c r="G664" t="s">
        <v>22</v>
      </c>
      <c r="H664" t="s">
        <v>46</v>
      </c>
      <c r="I664" t="s">
        <v>24</v>
      </c>
      <c r="J664" t="s">
        <v>57</v>
      </c>
      <c r="K664" s="6">
        <f t="shared" si="21"/>
        <v>1.2</v>
      </c>
      <c r="L664" t="s">
        <v>64</v>
      </c>
      <c r="M664">
        <f t="shared" si="20"/>
        <v>7</v>
      </c>
      <c r="N664" t="s">
        <v>104</v>
      </c>
      <c r="O664" t="s">
        <v>102</v>
      </c>
      <c r="P664" s="2">
        <v>572</v>
      </c>
      <c r="Q664" t="s">
        <v>104</v>
      </c>
      <c r="R664" t="s">
        <v>42</v>
      </c>
      <c r="S664" t="s">
        <v>31</v>
      </c>
      <c r="T664" t="s">
        <v>59</v>
      </c>
    </row>
    <row r="665" spans="1:20" x14ac:dyDescent="0.25">
      <c r="A665" s="2">
        <v>664</v>
      </c>
      <c r="B665" s="2">
        <v>85761</v>
      </c>
      <c r="C665" t="s">
        <v>33</v>
      </c>
      <c r="D665" t="s">
        <v>66</v>
      </c>
      <c r="E665" t="s">
        <v>87</v>
      </c>
      <c r="F665" t="s">
        <v>88</v>
      </c>
      <c r="G665" t="s">
        <v>45</v>
      </c>
      <c r="H665" t="s">
        <v>23</v>
      </c>
      <c r="I665" t="s">
        <v>91</v>
      </c>
      <c r="J665" t="s">
        <v>39</v>
      </c>
      <c r="K665" s="6">
        <f t="shared" si="21"/>
        <v>1.1000000000000001</v>
      </c>
      <c r="L665" t="s">
        <v>64</v>
      </c>
      <c r="M665">
        <f t="shared" si="20"/>
        <v>7</v>
      </c>
      <c r="N665" t="s">
        <v>40</v>
      </c>
      <c r="O665" t="s">
        <v>28</v>
      </c>
      <c r="P665" s="2">
        <v>426</v>
      </c>
      <c r="Q665" t="s">
        <v>29</v>
      </c>
      <c r="R665" t="s">
        <v>42</v>
      </c>
      <c r="S665" t="s">
        <v>50</v>
      </c>
      <c r="T665" t="s">
        <v>59</v>
      </c>
    </row>
    <row r="666" spans="1:20" x14ac:dyDescent="0.25">
      <c r="A666" s="2">
        <v>665</v>
      </c>
      <c r="B666" s="2">
        <v>23843</v>
      </c>
      <c r="C666" t="s">
        <v>19</v>
      </c>
      <c r="D666" t="s">
        <v>66</v>
      </c>
      <c r="E666" t="s">
        <v>95</v>
      </c>
      <c r="F666" t="s">
        <v>21</v>
      </c>
      <c r="G666" t="s">
        <v>78</v>
      </c>
      <c r="H666" t="s">
        <v>23</v>
      </c>
      <c r="I666" t="s">
        <v>24</v>
      </c>
      <c r="J666" t="s">
        <v>25</v>
      </c>
      <c r="K666" s="6">
        <f t="shared" si="21"/>
        <v>1.2</v>
      </c>
      <c r="L666" t="s">
        <v>64</v>
      </c>
      <c r="M666">
        <f t="shared" si="20"/>
        <v>7</v>
      </c>
      <c r="N666" t="s">
        <v>40</v>
      </c>
      <c r="O666" t="s">
        <v>103</v>
      </c>
      <c r="P666" s="2">
        <v>637</v>
      </c>
      <c r="Q666" t="s">
        <v>104</v>
      </c>
      <c r="R666" t="s">
        <v>42</v>
      </c>
      <c r="S666" t="s">
        <v>69</v>
      </c>
      <c r="T666" t="s">
        <v>43</v>
      </c>
    </row>
    <row r="667" spans="1:20" x14ac:dyDescent="0.25">
      <c r="A667" s="2">
        <v>666</v>
      </c>
      <c r="B667" s="2">
        <v>29902</v>
      </c>
      <c r="C667" t="s">
        <v>60</v>
      </c>
      <c r="D667" t="s">
        <v>66</v>
      </c>
      <c r="E667" t="s">
        <v>89</v>
      </c>
      <c r="F667" t="s">
        <v>90</v>
      </c>
      <c r="G667" t="s">
        <v>78</v>
      </c>
      <c r="H667" t="s">
        <v>37</v>
      </c>
      <c r="I667" t="s">
        <v>94</v>
      </c>
      <c r="J667" t="s">
        <v>57</v>
      </c>
      <c r="K667" s="6">
        <f t="shared" si="21"/>
        <v>0.375</v>
      </c>
      <c r="L667" t="s">
        <v>64</v>
      </c>
      <c r="M667">
        <f t="shared" si="20"/>
        <v>7</v>
      </c>
      <c r="N667" t="s">
        <v>104</v>
      </c>
      <c r="O667" t="s">
        <v>28</v>
      </c>
      <c r="P667" s="2">
        <v>2428</v>
      </c>
      <c r="Q667" t="s">
        <v>41</v>
      </c>
      <c r="R667" t="s">
        <v>68</v>
      </c>
      <c r="S667" t="s">
        <v>50</v>
      </c>
      <c r="T667" t="s">
        <v>59</v>
      </c>
    </row>
    <row r="668" spans="1:20" x14ac:dyDescent="0.25">
      <c r="A668" s="2">
        <v>667</v>
      </c>
      <c r="B668" s="2">
        <v>76155</v>
      </c>
      <c r="C668" t="s">
        <v>51</v>
      </c>
      <c r="D668" t="s">
        <v>52</v>
      </c>
      <c r="E668" t="s">
        <v>99</v>
      </c>
      <c r="F668" t="s">
        <v>100</v>
      </c>
      <c r="G668" t="s">
        <v>55</v>
      </c>
      <c r="H668" t="s">
        <v>37</v>
      </c>
      <c r="I668" t="s">
        <v>56</v>
      </c>
      <c r="J668" t="s">
        <v>57</v>
      </c>
      <c r="K668" s="6">
        <f t="shared" si="21"/>
        <v>2.2000000000000002</v>
      </c>
      <c r="L668" t="s">
        <v>64</v>
      </c>
      <c r="M668">
        <f t="shared" si="20"/>
        <v>7</v>
      </c>
      <c r="N668" t="s">
        <v>27</v>
      </c>
      <c r="O668" t="s">
        <v>65</v>
      </c>
      <c r="P668" s="2">
        <v>2922</v>
      </c>
      <c r="Q668" t="s">
        <v>74</v>
      </c>
      <c r="R668" t="s">
        <v>30</v>
      </c>
      <c r="S668" t="s">
        <v>31</v>
      </c>
      <c r="T668" t="s">
        <v>32</v>
      </c>
    </row>
    <row r="669" spans="1:20" x14ac:dyDescent="0.25">
      <c r="A669" s="2">
        <v>668</v>
      </c>
      <c r="B669" s="2">
        <v>48741</v>
      </c>
      <c r="C669" t="s">
        <v>19</v>
      </c>
      <c r="D669" t="s">
        <v>66</v>
      </c>
      <c r="E669" t="s">
        <v>44</v>
      </c>
      <c r="F669" t="s">
        <v>44</v>
      </c>
      <c r="G669" t="s">
        <v>81</v>
      </c>
      <c r="H669" t="s">
        <v>46</v>
      </c>
      <c r="I669" t="s">
        <v>91</v>
      </c>
      <c r="J669" t="s">
        <v>48</v>
      </c>
      <c r="K669" s="6">
        <f t="shared" si="21"/>
        <v>1.1000000000000001</v>
      </c>
      <c r="L669" t="s">
        <v>64</v>
      </c>
      <c r="M669">
        <f t="shared" si="20"/>
        <v>7</v>
      </c>
      <c r="N669" t="s">
        <v>27</v>
      </c>
      <c r="O669" t="s">
        <v>103</v>
      </c>
      <c r="P669" s="2">
        <v>383</v>
      </c>
      <c r="Q669" t="s">
        <v>41</v>
      </c>
      <c r="R669" t="s">
        <v>42</v>
      </c>
      <c r="S669" t="s">
        <v>69</v>
      </c>
      <c r="T669" t="s">
        <v>43</v>
      </c>
    </row>
    <row r="670" spans="1:20" x14ac:dyDescent="0.25">
      <c r="A670" s="2">
        <v>669</v>
      </c>
      <c r="B670" s="2">
        <v>32193</v>
      </c>
      <c r="C670" t="s">
        <v>33</v>
      </c>
      <c r="D670" t="s">
        <v>52</v>
      </c>
      <c r="E670" t="s">
        <v>101</v>
      </c>
      <c r="F670" t="s">
        <v>80</v>
      </c>
      <c r="G670" t="s">
        <v>63</v>
      </c>
      <c r="H670" t="s">
        <v>46</v>
      </c>
      <c r="I670" t="s">
        <v>47</v>
      </c>
      <c r="J670" t="s">
        <v>48</v>
      </c>
      <c r="K670" s="6">
        <f t="shared" si="21"/>
        <v>0.625</v>
      </c>
      <c r="L670" t="s">
        <v>64</v>
      </c>
      <c r="M670">
        <f t="shared" si="20"/>
        <v>7</v>
      </c>
      <c r="N670" t="s">
        <v>27</v>
      </c>
      <c r="O670" t="s">
        <v>65</v>
      </c>
      <c r="P670" s="2">
        <v>545</v>
      </c>
      <c r="Q670" t="s">
        <v>29</v>
      </c>
      <c r="R670" t="s">
        <v>68</v>
      </c>
      <c r="S670" t="s">
        <v>58</v>
      </c>
      <c r="T670" t="s">
        <v>32</v>
      </c>
    </row>
    <row r="671" spans="1:20" x14ac:dyDescent="0.25">
      <c r="A671" s="2">
        <v>670</v>
      </c>
      <c r="B671" s="2">
        <v>36084</v>
      </c>
      <c r="C671" t="s">
        <v>60</v>
      </c>
      <c r="D671" t="s">
        <v>66</v>
      </c>
      <c r="E671" t="s">
        <v>53</v>
      </c>
      <c r="F671" t="s">
        <v>54</v>
      </c>
      <c r="G671" t="s">
        <v>22</v>
      </c>
      <c r="H671" t="s">
        <v>73</v>
      </c>
      <c r="I671" t="s">
        <v>83</v>
      </c>
      <c r="J671" t="s">
        <v>57</v>
      </c>
      <c r="K671" s="6">
        <f t="shared" si="21"/>
        <v>1.1000000000000001</v>
      </c>
      <c r="L671" t="s">
        <v>49</v>
      </c>
      <c r="M671">
        <f t="shared" si="20"/>
        <v>3</v>
      </c>
      <c r="N671" t="s">
        <v>40</v>
      </c>
      <c r="O671" t="s">
        <v>72</v>
      </c>
      <c r="P671" s="2">
        <v>1412</v>
      </c>
      <c r="Q671" t="s">
        <v>74</v>
      </c>
      <c r="R671" t="s">
        <v>42</v>
      </c>
      <c r="S671" t="s">
        <v>69</v>
      </c>
      <c r="T671" t="s">
        <v>59</v>
      </c>
    </row>
    <row r="672" spans="1:20" x14ac:dyDescent="0.25">
      <c r="A672" s="2">
        <v>671</v>
      </c>
      <c r="B672" s="2">
        <v>15848</v>
      </c>
      <c r="C672" t="s">
        <v>51</v>
      </c>
      <c r="D672" t="s">
        <v>66</v>
      </c>
      <c r="E672" t="s">
        <v>95</v>
      </c>
      <c r="F672" t="s">
        <v>21</v>
      </c>
      <c r="G672" t="s">
        <v>70</v>
      </c>
      <c r="H672" t="s">
        <v>71</v>
      </c>
      <c r="I672" t="s">
        <v>24</v>
      </c>
      <c r="J672" t="s">
        <v>25</v>
      </c>
      <c r="K672" s="6">
        <f t="shared" si="21"/>
        <v>1.2</v>
      </c>
      <c r="L672" t="s">
        <v>26</v>
      </c>
      <c r="M672">
        <f t="shared" si="20"/>
        <v>1</v>
      </c>
      <c r="N672" t="s">
        <v>40</v>
      </c>
      <c r="O672" t="s">
        <v>72</v>
      </c>
      <c r="P672" s="2">
        <v>286</v>
      </c>
      <c r="Q672" t="s">
        <v>104</v>
      </c>
      <c r="R672" t="s">
        <v>42</v>
      </c>
      <c r="S672" t="s">
        <v>31</v>
      </c>
      <c r="T672" t="s">
        <v>43</v>
      </c>
    </row>
    <row r="673" spans="1:20" x14ac:dyDescent="0.25">
      <c r="A673" s="2">
        <v>672</v>
      </c>
      <c r="B673" s="2">
        <v>91427</v>
      </c>
      <c r="C673" t="s">
        <v>51</v>
      </c>
      <c r="D673" t="s">
        <v>66</v>
      </c>
      <c r="E673" t="s">
        <v>97</v>
      </c>
      <c r="F673" t="s">
        <v>62</v>
      </c>
      <c r="G673" t="s">
        <v>45</v>
      </c>
      <c r="H673" t="s">
        <v>23</v>
      </c>
      <c r="I673" t="s">
        <v>83</v>
      </c>
      <c r="J673" t="s">
        <v>25</v>
      </c>
      <c r="K673" s="6">
        <f t="shared" si="21"/>
        <v>1.1000000000000001</v>
      </c>
      <c r="L673" t="s">
        <v>64</v>
      </c>
      <c r="M673">
        <f t="shared" si="20"/>
        <v>7</v>
      </c>
      <c r="N673" t="s">
        <v>27</v>
      </c>
      <c r="O673" t="s">
        <v>72</v>
      </c>
      <c r="P673" s="2">
        <v>670</v>
      </c>
      <c r="Q673" t="s">
        <v>74</v>
      </c>
      <c r="R673" t="s">
        <v>42</v>
      </c>
      <c r="S673" t="s">
        <v>58</v>
      </c>
      <c r="T673" t="s">
        <v>59</v>
      </c>
    </row>
    <row r="674" spans="1:20" x14ac:dyDescent="0.25">
      <c r="A674" s="2">
        <v>673</v>
      </c>
      <c r="B674" s="2">
        <v>17961</v>
      </c>
      <c r="C674" t="s">
        <v>51</v>
      </c>
      <c r="D674" t="s">
        <v>52</v>
      </c>
      <c r="E674" t="s">
        <v>97</v>
      </c>
      <c r="F674" t="s">
        <v>62</v>
      </c>
      <c r="G674" t="s">
        <v>45</v>
      </c>
      <c r="H674" t="s">
        <v>37</v>
      </c>
      <c r="I674" t="s">
        <v>24</v>
      </c>
      <c r="J674" t="s">
        <v>48</v>
      </c>
      <c r="K674" s="6">
        <f t="shared" si="21"/>
        <v>2.4</v>
      </c>
      <c r="L674" t="s">
        <v>64</v>
      </c>
      <c r="M674">
        <f t="shared" si="20"/>
        <v>7</v>
      </c>
      <c r="N674" t="s">
        <v>104</v>
      </c>
      <c r="O674" t="s">
        <v>102</v>
      </c>
      <c r="P674" s="2">
        <v>1321</v>
      </c>
      <c r="Q674" t="s">
        <v>74</v>
      </c>
      <c r="R674" t="s">
        <v>30</v>
      </c>
      <c r="S674" t="s">
        <v>50</v>
      </c>
      <c r="T674" t="s">
        <v>59</v>
      </c>
    </row>
    <row r="675" spans="1:20" x14ac:dyDescent="0.25">
      <c r="A675" s="2">
        <v>674</v>
      </c>
      <c r="B675" s="2">
        <v>39050</v>
      </c>
      <c r="C675" t="s">
        <v>51</v>
      </c>
      <c r="D675" t="s">
        <v>66</v>
      </c>
      <c r="E675" t="s">
        <v>101</v>
      </c>
      <c r="F675" t="s">
        <v>80</v>
      </c>
      <c r="G675" t="s">
        <v>92</v>
      </c>
      <c r="H675" t="s">
        <v>23</v>
      </c>
      <c r="I675" t="s">
        <v>38</v>
      </c>
      <c r="J675" t="s">
        <v>48</v>
      </c>
      <c r="K675" s="6">
        <f t="shared" si="21"/>
        <v>1</v>
      </c>
      <c r="L675" t="s">
        <v>64</v>
      </c>
      <c r="M675">
        <f t="shared" si="20"/>
        <v>7</v>
      </c>
      <c r="N675" t="s">
        <v>104</v>
      </c>
      <c r="O675" t="s">
        <v>72</v>
      </c>
      <c r="P675" s="2">
        <v>881</v>
      </c>
      <c r="Q675" t="s">
        <v>29</v>
      </c>
      <c r="R675" t="s">
        <v>42</v>
      </c>
      <c r="S675" t="s">
        <v>50</v>
      </c>
      <c r="T675" t="s">
        <v>32</v>
      </c>
    </row>
    <row r="676" spans="1:20" x14ac:dyDescent="0.25">
      <c r="A676" s="2">
        <v>675</v>
      </c>
      <c r="B676" s="2">
        <v>10656</v>
      </c>
      <c r="C676" t="s">
        <v>60</v>
      </c>
      <c r="D676" t="s">
        <v>66</v>
      </c>
      <c r="E676" t="s">
        <v>34</v>
      </c>
      <c r="F676" t="s">
        <v>35</v>
      </c>
      <c r="G676" t="s">
        <v>81</v>
      </c>
      <c r="H676" t="s">
        <v>46</v>
      </c>
      <c r="I676" t="s">
        <v>91</v>
      </c>
      <c r="J676" t="s">
        <v>57</v>
      </c>
      <c r="K676" s="6">
        <f t="shared" si="21"/>
        <v>2.2000000000000002</v>
      </c>
      <c r="L676" t="s">
        <v>64</v>
      </c>
      <c r="M676">
        <f t="shared" si="20"/>
        <v>7</v>
      </c>
      <c r="N676" t="s">
        <v>104</v>
      </c>
      <c r="O676" t="s">
        <v>103</v>
      </c>
      <c r="P676" s="2">
        <v>465</v>
      </c>
      <c r="Q676" t="s">
        <v>104</v>
      </c>
      <c r="R676" t="s">
        <v>30</v>
      </c>
      <c r="S676" t="s">
        <v>31</v>
      </c>
      <c r="T676" t="s">
        <v>43</v>
      </c>
    </row>
    <row r="677" spans="1:20" x14ac:dyDescent="0.25">
      <c r="A677" s="2">
        <v>676</v>
      </c>
      <c r="B677" s="2">
        <v>46705</v>
      </c>
      <c r="C677" t="s">
        <v>51</v>
      </c>
      <c r="D677" t="s">
        <v>52</v>
      </c>
      <c r="E677" t="s">
        <v>84</v>
      </c>
      <c r="F677" t="s">
        <v>85</v>
      </c>
      <c r="G677" t="s">
        <v>45</v>
      </c>
      <c r="H677" t="s">
        <v>71</v>
      </c>
      <c r="I677" t="s">
        <v>47</v>
      </c>
      <c r="J677" t="s">
        <v>57</v>
      </c>
      <c r="K677" s="6">
        <f t="shared" si="21"/>
        <v>2.5</v>
      </c>
      <c r="L677" t="s">
        <v>26</v>
      </c>
      <c r="M677">
        <f t="shared" si="20"/>
        <v>1</v>
      </c>
      <c r="N677" t="s">
        <v>104</v>
      </c>
      <c r="O677" t="s">
        <v>102</v>
      </c>
      <c r="P677" s="2">
        <v>151</v>
      </c>
      <c r="Q677" t="s">
        <v>74</v>
      </c>
      <c r="R677" t="s">
        <v>30</v>
      </c>
      <c r="S677" t="s">
        <v>58</v>
      </c>
      <c r="T677" t="s">
        <v>32</v>
      </c>
    </row>
    <row r="678" spans="1:20" x14ac:dyDescent="0.25">
      <c r="A678" s="2">
        <v>677</v>
      </c>
      <c r="B678" s="2">
        <v>31415</v>
      </c>
      <c r="C678" t="s">
        <v>60</v>
      </c>
      <c r="D678" t="s">
        <v>66</v>
      </c>
      <c r="E678" t="s">
        <v>61</v>
      </c>
      <c r="F678" t="s">
        <v>62</v>
      </c>
      <c r="G678" t="s">
        <v>22</v>
      </c>
      <c r="H678" t="s">
        <v>73</v>
      </c>
      <c r="I678" t="s">
        <v>94</v>
      </c>
      <c r="J678" t="s">
        <v>39</v>
      </c>
      <c r="K678" s="6">
        <f t="shared" si="21"/>
        <v>1.5</v>
      </c>
      <c r="L678" t="s">
        <v>49</v>
      </c>
      <c r="M678">
        <f t="shared" si="20"/>
        <v>3</v>
      </c>
      <c r="N678" t="s">
        <v>40</v>
      </c>
      <c r="O678" t="s">
        <v>103</v>
      </c>
      <c r="P678" s="2">
        <v>924</v>
      </c>
      <c r="Q678" t="s">
        <v>104</v>
      </c>
      <c r="R678" t="s">
        <v>75</v>
      </c>
      <c r="S678" t="s">
        <v>50</v>
      </c>
      <c r="T678" t="s">
        <v>59</v>
      </c>
    </row>
    <row r="679" spans="1:20" x14ac:dyDescent="0.25">
      <c r="A679" s="2">
        <v>678</v>
      </c>
      <c r="B679" s="2">
        <v>38755</v>
      </c>
      <c r="C679" t="s">
        <v>51</v>
      </c>
      <c r="D679" t="s">
        <v>66</v>
      </c>
      <c r="E679" t="s">
        <v>87</v>
      </c>
      <c r="F679" t="s">
        <v>88</v>
      </c>
      <c r="G679" t="s">
        <v>55</v>
      </c>
      <c r="H679" t="s">
        <v>23</v>
      </c>
      <c r="I679" t="s">
        <v>91</v>
      </c>
      <c r="J679" t="s">
        <v>57</v>
      </c>
      <c r="K679" s="6">
        <f t="shared" si="21"/>
        <v>2.2000000000000002</v>
      </c>
      <c r="L679" t="s">
        <v>64</v>
      </c>
      <c r="M679">
        <f t="shared" si="20"/>
        <v>7</v>
      </c>
      <c r="N679" t="s">
        <v>40</v>
      </c>
      <c r="O679" t="s">
        <v>72</v>
      </c>
      <c r="P679" s="2">
        <v>538</v>
      </c>
      <c r="Q679" t="s">
        <v>104</v>
      </c>
      <c r="R679" t="s">
        <v>30</v>
      </c>
      <c r="S679" t="s">
        <v>69</v>
      </c>
      <c r="T679" t="s">
        <v>59</v>
      </c>
    </row>
    <row r="680" spans="1:20" x14ac:dyDescent="0.25">
      <c r="A680" s="2">
        <v>679</v>
      </c>
      <c r="B680" s="2">
        <v>70197</v>
      </c>
      <c r="C680" t="s">
        <v>33</v>
      </c>
      <c r="D680" t="s">
        <v>66</v>
      </c>
      <c r="E680" t="s">
        <v>87</v>
      </c>
      <c r="F680" t="s">
        <v>88</v>
      </c>
      <c r="G680" t="s">
        <v>98</v>
      </c>
      <c r="H680" t="s">
        <v>73</v>
      </c>
      <c r="I680" t="s">
        <v>94</v>
      </c>
      <c r="J680" t="s">
        <v>86</v>
      </c>
      <c r="K680" s="6">
        <f t="shared" si="21"/>
        <v>1.5</v>
      </c>
      <c r="L680" t="s">
        <v>64</v>
      </c>
      <c r="M680">
        <f t="shared" si="20"/>
        <v>7</v>
      </c>
      <c r="N680" t="s">
        <v>27</v>
      </c>
      <c r="O680" t="s">
        <v>28</v>
      </c>
      <c r="P680" s="2">
        <v>1025</v>
      </c>
      <c r="Q680" t="s">
        <v>104</v>
      </c>
      <c r="R680" t="s">
        <v>75</v>
      </c>
      <c r="S680" t="s">
        <v>50</v>
      </c>
      <c r="T680" t="s">
        <v>59</v>
      </c>
    </row>
    <row r="681" spans="1:20" x14ac:dyDescent="0.25">
      <c r="A681" s="2">
        <v>680</v>
      </c>
      <c r="B681" s="2">
        <v>82707</v>
      </c>
      <c r="C681" t="s">
        <v>60</v>
      </c>
      <c r="D681" t="s">
        <v>66</v>
      </c>
      <c r="E681" t="s">
        <v>79</v>
      </c>
      <c r="F681" t="s">
        <v>80</v>
      </c>
      <c r="G681" t="s">
        <v>55</v>
      </c>
      <c r="H681" t="s">
        <v>23</v>
      </c>
      <c r="I681" t="s">
        <v>38</v>
      </c>
      <c r="J681" t="s">
        <v>57</v>
      </c>
      <c r="K681" s="6">
        <f t="shared" si="21"/>
        <v>0.5</v>
      </c>
      <c r="L681" t="s">
        <v>64</v>
      </c>
      <c r="M681">
        <f t="shared" si="20"/>
        <v>7</v>
      </c>
      <c r="N681" t="s">
        <v>27</v>
      </c>
      <c r="O681" t="s">
        <v>28</v>
      </c>
      <c r="P681" s="2">
        <v>436</v>
      </c>
      <c r="Q681" t="s">
        <v>29</v>
      </c>
      <c r="R681" t="s">
        <v>68</v>
      </c>
      <c r="S681" t="s">
        <v>50</v>
      </c>
      <c r="T681" t="s">
        <v>43</v>
      </c>
    </row>
    <row r="682" spans="1:20" x14ac:dyDescent="0.25">
      <c r="A682" s="2">
        <v>681</v>
      </c>
      <c r="B682" s="2">
        <v>21077</v>
      </c>
      <c r="C682" t="s">
        <v>60</v>
      </c>
      <c r="D682" t="s">
        <v>52</v>
      </c>
      <c r="E682" t="s">
        <v>87</v>
      </c>
      <c r="F682" t="s">
        <v>88</v>
      </c>
      <c r="G682" t="s">
        <v>22</v>
      </c>
      <c r="H682" t="s">
        <v>71</v>
      </c>
      <c r="I682" t="s">
        <v>24</v>
      </c>
      <c r="J682" t="s">
        <v>25</v>
      </c>
      <c r="K682" s="6">
        <f t="shared" si="21"/>
        <v>0.6</v>
      </c>
      <c r="L682" t="s">
        <v>64</v>
      </c>
      <c r="M682">
        <f t="shared" si="20"/>
        <v>7</v>
      </c>
      <c r="N682" t="s">
        <v>27</v>
      </c>
      <c r="O682" t="s">
        <v>103</v>
      </c>
      <c r="P682" s="2">
        <v>388</v>
      </c>
      <c r="Q682" t="s">
        <v>41</v>
      </c>
      <c r="R682" t="s">
        <v>68</v>
      </c>
      <c r="S682" t="s">
        <v>58</v>
      </c>
      <c r="T682" t="s">
        <v>59</v>
      </c>
    </row>
    <row r="683" spans="1:20" x14ac:dyDescent="0.25">
      <c r="A683" s="2">
        <v>682</v>
      </c>
      <c r="B683" s="2">
        <v>69422</v>
      </c>
      <c r="C683" t="s">
        <v>96</v>
      </c>
      <c r="D683" t="s">
        <v>52</v>
      </c>
      <c r="E683" t="s">
        <v>76</v>
      </c>
      <c r="F683" t="s">
        <v>77</v>
      </c>
      <c r="G683" t="s">
        <v>92</v>
      </c>
      <c r="H683" t="s">
        <v>46</v>
      </c>
      <c r="I683" t="s">
        <v>67</v>
      </c>
      <c r="J683" t="s">
        <v>57</v>
      </c>
      <c r="K683" s="6">
        <f t="shared" si="21"/>
        <v>1.1000000000000001</v>
      </c>
      <c r="L683" t="s">
        <v>64</v>
      </c>
      <c r="M683">
        <f t="shared" si="20"/>
        <v>7</v>
      </c>
      <c r="N683" t="s">
        <v>40</v>
      </c>
      <c r="O683" t="s">
        <v>102</v>
      </c>
      <c r="P683" s="2">
        <v>299</v>
      </c>
      <c r="Q683" t="s">
        <v>104</v>
      </c>
      <c r="R683" t="s">
        <v>42</v>
      </c>
      <c r="S683" t="s">
        <v>50</v>
      </c>
      <c r="T683" t="s">
        <v>43</v>
      </c>
    </row>
    <row r="684" spans="1:20" x14ac:dyDescent="0.25">
      <c r="A684" s="2">
        <v>683</v>
      </c>
      <c r="B684" s="2">
        <v>34809</v>
      </c>
      <c r="C684" t="s">
        <v>33</v>
      </c>
      <c r="D684" t="s">
        <v>52</v>
      </c>
      <c r="E684" t="s">
        <v>93</v>
      </c>
      <c r="F684" t="s">
        <v>62</v>
      </c>
      <c r="G684" t="s">
        <v>78</v>
      </c>
      <c r="H684" t="s">
        <v>73</v>
      </c>
      <c r="I684" t="s">
        <v>91</v>
      </c>
      <c r="J684" t="s">
        <v>86</v>
      </c>
      <c r="K684" s="6">
        <f t="shared" si="21"/>
        <v>2.2000000000000002</v>
      </c>
      <c r="L684" t="s">
        <v>64</v>
      </c>
      <c r="M684">
        <f t="shared" si="20"/>
        <v>7</v>
      </c>
      <c r="N684" t="s">
        <v>27</v>
      </c>
      <c r="O684" t="s">
        <v>28</v>
      </c>
      <c r="P684" s="2">
        <v>1397</v>
      </c>
      <c r="Q684" t="s">
        <v>74</v>
      </c>
      <c r="R684" t="s">
        <v>75</v>
      </c>
      <c r="S684" t="s">
        <v>69</v>
      </c>
      <c r="T684" t="s">
        <v>43</v>
      </c>
    </row>
    <row r="685" spans="1:20" x14ac:dyDescent="0.25">
      <c r="A685" s="2">
        <v>684</v>
      </c>
      <c r="B685" s="2">
        <v>58798</v>
      </c>
      <c r="C685" t="s">
        <v>60</v>
      </c>
      <c r="D685" t="s">
        <v>52</v>
      </c>
      <c r="E685" t="s">
        <v>93</v>
      </c>
      <c r="F685" t="s">
        <v>62</v>
      </c>
      <c r="G685" t="s">
        <v>63</v>
      </c>
      <c r="H685" t="s">
        <v>46</v>
      </c>
      <c r="I685" t="s">
        <v>91</v>
      </c>
      <c r="J685" t="s">
        <v>39</v>
      </c>
      <c r="K685" s="6">
        <f t="shared" si="21"/>
        <v>0.55000000000000004</v>
      </c>
      <c r="L685" t="s">
        <v>64</v>
      </c>
      <c r="M685">
        <f t="shared" si="20"/>
        <v>7</v>
      </c>
      <c r="N685" t="s">
        <v>104</v>
      </c>
      <c r="O685" t="s">
        <v>65</v>
      </c>
      <c r="P685" s="2">
        <v>252</v>
      </c>
      <c r="Q685" t="s">
        <v>74</v>
      </c>
      <c r="R685" t="s">
        <v>68</v>
      </c>
      <c r="S685" t="s">
        <v>50</v>
      </c>
      <c r="T685" t="s">
        <v>43</v>
      </c>
    </row>
    <row r="686" spans="1:20" x14ac:dyDescent="0.25">
      <c r="A686" s="2">
        <v>685</v>
      </c>
      <c r="B686" s="2">
        <v>82076</v>
      </c>
      <c r="C686" t="s">
        <v>51</v>
      </c>
      <c r="D686" t="s">
        <v>52</v>
      </c>
      <c r="E686" t="s">
        <v>84</v>
      </c>
      <c r="F686" t="s">
        <v>85</v>
      </c>
      <c r="G686" t="s">
        <v>45</v>
      </c>
      <c r="H686" t="s">
        <v>23</v>
      </c>
      <c r="I686" t="s">
        <v>91</v>
      </c>
      <c r="J686" t="s">
        <v>25</v>
      </c>
      <c r="K686" s="6">
        <f t="shared" si="21"/>
        <v>2.2000000000000002</v>
      </c>
      <c r="L686" t="s">
        <v>64</v>
      </c>
      <c r="M686">
        <f t="shared" si="20"/>
        <v>7</v>
      </c>
      <c r="N686" t="s">
        <v>27</v>
      </c>
      <c r="O686" t="s">
        <v>82</v>
      </c>
      <c r="P686" s="2">
        <v>878</v>
      </c>
      <c r="Q686" t="s">
        <v>41</v>
      </c>
      <c r="R686" t="s">
        <v>75</v>
      </c>
      <c r="S686" t="s">
        <v>69</v>
      </c>
      <c r="T686" t="s">
        <v>32</v>
      </c>
    </row>
    <row r="687" spans="1:20" x14ac:dyDescent="0.25">
      <c r="A687" s="2">
        <v>686</v>
      </c>
      <c r="B687" s="2">
        <v>84392</v>
      </c>
      <c r="C687" t="s">
        <v>19</v>
      </c>
      <c r="D687" t="s">
        <v>52</v>
      </c>
      <c r="E687" t="s">
        <v>76</v>
      </c>
      <c r="F687" t="s">
        <v>77</v>
      </c>
      <c r="G687" t="s">
        <v>81</v>
      </c>
      <c r="H687" t="s">
        <v>23</v>
      </c>
      <c r="I687" t="s">
        <v>83</v>
      </c>
      <c r="J687" t="s">
        <v>57</v>
      </c>
      <c r="K687" s="6">
        <f t="shared" si="21"/>
        <v>2.2000000000000002</v>
      </c>
      <c r="L687" t="s">
        <v>64</v>
      </c>
      <c r="M687">
        <f t="shared" si="20"/>
        <v>7</v>
      </c>
      <c r="N687" t="s">
        <v>40</v>
      </c>
      <c r="O687" t="s">
        <v>82</v>
      </c>
      <c r="P687" s="2">
        <v>639</v>
      </c>
      <c r="Q687" t="s">
        <v>41</v>
      </c>
      <c r="R687" t="s">
        <v>30</v>
      </c>
      <c r="S687" t="s">
        <v>31</v>
      </c>
      <c r="T687" t="s">
        <v>43</v>
      </c>
    </row>
    <row r="688" spans="1:20" x14ac:dyDescent="0.25">
      <c r="A688" s="2">
        <v>687</v>
      </c>
      <c r="B688" s="2">
        <v>53019</v>
      </c>
      <c r="C688" t="s">
        <v>33</v>
      </c>
      <c r="D688" t="s">
        <v>52</v>
      </c>
      <c r="E688" t="s">
        <v>99</v>
      </c>
      <c r="F688" t="s">
        <v>100</v>
      </c>
      <c r="G688" t="s">
        <v>55</v>
      </c>
      <c r="H688" t="s">
        <v>23</v>
      </c>
      <c r="I688" t="s">
        <v>83</v>
      </c>
      <c r="J688" t="s">
        <v>57</v>
      </c>
      <c r="K688" s="6">
        <f t="shared" si="21"/>
        <v>1.1000000000000001</v>
      </c>
      <c r="L688" t="s">
        <v>64</v>
      </c>
      <c r="M688">
        <f t="shared" si="20"/>
        <v>7</v>
      </c>
      <c r="N688" t="s">
        <v>27</v>
      </c>
      <c r="O688" t="s">
        <v>28</v>
      </c>
      <c r="P688" s="2">
        <v>609</v>
      </c>
      <c r="Q688" t="s">
        <v>29</v>
      </c>
      <c r="R688" t="s">
        <v>42</v>
      </c>
      <c r="S688" t="s">
        <v>69</v>
      </c>
      <c r="T688" t="s">
        <v>32</v>
      </c>
    </row>
    <row r="689" spans="1:20" x14ac:dyDescent="0.25">
      <c r="A689" s="2">
        <v>688</v>
      </c>
      <c r="B689" s="2">
        <v>32915</v>
      </c>
      <c r="C689" t="s">
        <v>60</v>
      </c>
      <c r="D689" t="s">
        <v>66</v>
      </c>
      <c r="E689" t="s">
        <v>61</v>
      </c>
      <c r="F689" t="s">
        <v>62</v>
      </c>
      <c r="G689" t="s">
        <v>81</v>
      </c>
      <c r="H689" t="s">
        <v>46</v>
      </c>
      <c r="I689" t="s">
        <v>83</v>
      </c>
      <c r="J689" t="s">
        <v>57</v>
      </c>
      <c r="K689" s="6">
        <f t="shared" si="21"/>
        <v>0.55000000000000004</v>
      </c>
      <c r="L689" t="s">
        <v>64</v>
      </c>
      <c r="M689">
        <f t="shared" si="20"/>
        <v>7</v>
      </c>
      <c r="N689" t="s">
        <v>40</v>
      </c>
      <c r="O689" t="s">
        <v>102</v>
      </c>
      <c r="P689" s="2">
        <v>551</v>
      </c>
      <c r="Q689" t="s">
        <v>29</v>
      </c>
      <c r="R689" t="s">
        <v>68</v>
      </c>
      <c r="S689" t="s">
        <v>31</v>
      </c>
      <c r="T689" t="s">
        <v>59</v>
      </c>
    </row>
    <row r="690" spans="1:20" x14ac:dyDescent="0.25">
      <c r="A690" s="2">
        <v>689</v>
      </c>
      <c r="B690" s="2">
        <v>91019</v>
      </c>
      <c r="C690" t="s">
        <v>33</v>
      </c>
      <c r="D690" t="s">
        <v>52</v>
      </c>
      <c r="E690" t="s">
        <v>87</v>
      </c>
      <c r="F690" t="s">
        <v>88</v>
      </c>
      <c r="G690" t="s">
        <v>70</v>
      </c>
      <c r="H690" t="s">
        <v>23</v>
      </c>
      <c r="I690" t="s">
        <v>24</v>
      </c>
      <c r="J690" t="s">
        <v>48</v>
      </c>
      <c r="K690" s="6">
        <f t="shared" si="21"/>
        <v>0.6</v>
      </c>
      <c r="L690" t="s">
        <v>26</v>
      </c>
      <c r="M690">
        <f t="shared" si="20"/>
        <v>1</v>
      </c>
      <c r="N690" t="s">
        <v>40</v>
      </c>
      <c r="O690" t="s">
        <v>103</v>
      </c>
      <c r="P690" s="2">
        <v>719</v>
      </c>
      <c r="Q690" t="s">
        <v>104</v>
      </c>
      <c r="R690" t="s">
        <v>68</v>
      </c>
      <c r="S690" t="s">
        <v>50</v>
      </c>
      <c r="T690" t="s">
        <v>59</v>
      </c>
    </row>
    <row r="691" spans="1:20" x14ac:dyDescent="0.25">
      <c r="A691" s="2">
        <v>690</v>
      </c>
      <c r="B691" s="2">
        <v>52538</v>
      </c>
      <c r="C691" t="s">
        <v>19</v>
      </c>
      <c r="D691" t="s">
        <v>52</v>
      </c>
      <c r="E691" t="s">
        <v>34</v>
      </c>
      <c r="F691" t="s">
        <v>35</v>
      </c>
      <c r="G691" t="s">
        <v>22</v>
      </c>
      <c r="H691" t="s">
        <v>71</v>
      </c>
      <c r="I691" t="s">
        <v>24</v>
      </c>
      <c r="J691" t="s">
        <v>57</v>
      </c>
      <c r="K691" s="6">
        <f t="shared" si="21"/>
        <v>2.4</v>
      </c>
      <c r="L691" t="s">
        <v>49</v>
      </c>
      <c r="M691">
        <f t="shared" si="20"/>
        <v>3</v>
      </c>
      <c r="N691" t="s">
        <v>27</v>
      </c>
      <c r="O691" t="s">
        <v>28</v>
      </c>
      <c r="P691" s="2">
        <v>275</v>
      </c>
      <c r="Q691" t="s">
        <v>41</v>
      </c>
      <c r="R691" t="s">
        <v>30</v>
      </c>
      <c r="S691" t="s">
        <v>69</v>
      </c>
      <c r="T691" t="s">
        <v>43</v>
      </c>
    </row>
    <row r="692" spans="1:20" x14ac:dyDescent="0.25">
      <c r="A692" s="2">
        <v>691</v>
      </c>
      <c r="B692" s="2">
        <v>43873</v>
      </c>
      <c r="C692" t="s">
        <v>51</v>
      </c>
      <c r="D692" t="s">
        <v>66</v>
      </c>
      <c r="E692" t="s">
        <v>61</v>
      </c>
      <c r="F692" t="s">
        <v>62</v>
      </c>
      <c r="G692" t="s">
        <v>70</v>
      </c>
      <c r="H692" t="s">
        <v>46</v>
      </c>
      <c r="I692" t="s">
        <v>67</v>
      </c>
      <c r="J692" t="s">
        <v>39</v>
      </c>
      <c r="K692" s="6">
        <f t="shared" si="21"/>
        <v>2.2000000000000002</v>
      </c>
      <c r="L692" t="s">
        <v>64</v>
      </c>
      <c r="M692">
        <f t="shared" si="20"/>
        <v>7</v>
      </c>
      <c r="N692" t="s">
        <v>27</v>
      </c>
      <c r="O692" t="s">
        <v>102</v>
      </c>
      <c r="P692" s="2">
        <v>289</v>
      </c>
      <c r="Q692" t="s">
        <v>29</v>
      </c>
      <c r="R692" t="s">
        <v>75</v>
      </c>
      <c r="S692" t="s">
        <v>31</v>
      </c>
      <c r="T692" t="s">
        <v>59</v>
      </c>
    </row>
    <row r="693" spans="1:20" x14ac:dyDescent="0.25">
      <c r="A693" s="2">
        <v>692</v>
      </c>
      <c r="B693" s="2">
        <v>39822</v>
      </c>
      <c r="C693" t="s">
        <v>96</v>
      </c>
      <c r="D693" t="s">
        <v>52</v>
      </c>
      <c r="E693" t="s">
        <v>53</v>
      </c>
      <c r="F693" t="s">
        <v>54</v>
      </c>
      <c r="G693" t="s">
        <v>22</v>
      </c>
      <c r="H693" t="s">
        <v>71</v>
      </c>
      <c r="I693" t="s">
        <v>83</v>
      </c>
      <c r="J693" t="s">
        <v>39</v>
      </c>
      <c r="K693" s="6">
        <f t="shared" si="21"/>
        <v>0.55000000000000004</v>
      </c>
      <c r="L693" t="s">
        <v>64</v>
      </c>
      <c r="M693">
        <f t="shared" si="20"/>
        <v>7</v>
      </c>
      <c r="N693" t="s">
        <v>27</v>
      </c>
      <c r="O693" t="s">
        <v>28</v>
      </c>
      <c r="P693" s="2">
        <v>178</v>
      </c>
      <c r="Q693" t="s">
        <v>74</v>
      </c>
      <c r="R693" t="s">
        <v>68</v>
      </c>
      <c r="S693" t="s">
        <v>31</v>
      </c>
      <c r="T693" t="s">
        <v>59</v>
      </c>
    </row>
    <row r="694" spans="1:20" x14ac:dyDescent="0.25">
      <c r="A694" s="2">
        <v>693</v>
      </c>
      <c r="B694" s="2">
        <v>45831</v>
      </c>
      <c r="C694" t="s">
        <v>51</v>
      </c>
      <c r="D694" t="s">
        <v>52</v>
      </c>
      <c r="E694" t="s">
        <v>61</v>
      </c>
      <c r="F694" t="s">
        <v>62</v>
      </c>
      <c r="G694" t="s">
        <v>63</v>
      </c>
      <c r="H694" t="s">
        <v>23</v>
      </c>
      <c r="I694" t="s">
        <v>56</v>
      </c>
      <c r="J694" t="s">
        <v>48</v>
      </c>
      <c r="K694" s="6">
        <f t="shared" si="21"/>
        <v>2.2000000000000002</v>
      </c>
      <c r="L694" t="s">
        <v>26</v>
      </c>
      <c r="M694">
        <f t="shared" si="20"/>
        <v>1</v>
      </c>
      <c r="N694" t="s">
        <v>40</v>
      </c>
      <c r="O694" t="s">
        <v>103</v>
      </c>
      <c r="P694" s="2">
        <v>584</v>
      </c>
      <c r="Q694" t="s">
        <v>29</v>
      </c>
      <c r="R694" t="s">
        <v>30</v>
      </c>
      <c r="S694" t="s">
        <v>50</v>
      </c>
      <c r="T694" t="s">
        <v>59</v>
      </c>
    </row>
    <row r="695" spans="1:20" x14ac:dyDescent="0.25">
      <c r="A695" s="2">
        <v>694</v>
      </c>
      <c r="B695" s="2">
        <v>52869</v>
      </c>
      <c r="C695" t="s">
        <v>33</v>
      </c>
      <c r="D695" t="s">
        <v>52</v>
      </c>
      <c r="E695" t="s">
        <v>61</v>
      </c>
      <c r="F695" t="s">
        <v>62</v>
      </c>
      <c r="G695" t="s">
        <v>45</v>
      </c>
      <c r="H695" t="s">
        <v>73</v>
      </c>
      <c r="I695" t="s">
        <v>47</v>
      </c>
      <c r="J695" t="s">
        <v>48</v>
      </c>
      <c r="K695" s="6">
        <f t="shared" si="21"/>
        <v>1.25</v>
      </c>
      <c r="L695" t="s">
        <v>49</v>
      </c>
      <c r="M695">
        <f t="shared" si="20"/>
        <v>3</v>
      </c>
      <c r="N695" t="s">
        <v>27</v>
      </c>
      <c r="O695" t="s">
        <v>103</v>
      </c>
      <c r="P695" s="2">
        <v>898</v>
      </c>
      <c r="Q695" t="s">
        <v>74</v>
      </c>
      <c r="R695" t="s">
        <v>42</v>
      </c>
      <c r="S695" t="s">
        <v>50</v>
      </c>
      <c r="T695" t="s">
        <v>59</v>
      </c>
    </row>
    <row r="696" spans="1:20" x14ac:dyDescent="0.25">
      <c r="A696" s="2">
        <v>695</v>
      </c>
      <c r="B696" s="2">
        <v>55424</v>
      </c>
      <c r="C696" t="s">
        <v>51</v>
      </c>
      <c r="D696" t="s">
        <v>66</v>
      </c>
      <c r="E696" t="s">
        <v>101</v>
      </c>
      <c r="F696" t="s">
        <v>80</v>
      </c>
      <c r="G696" t="s">
        <v>78</v>
      </c>
      <c r="H696" t="s">
        <v>71</v>
      </c>
      <c r="I696" t="s">
        <v>24</v>
      </c>
      <c r="J696" t="s">
        <v>48</v>
      </c>
      <c r="K696" s="6">
        <f t="shared" si="21"/>
        <v>2.4</v>
      </c>
      <c r="L696" t="s">
        <v>64</v>
      </c>
      <c r="M696">
        <f t="shared" si="20"/>
        <v>7</v>
      </c>
      <c r="N696" t="s">
        <v>27</v>
      </c>
      <c r="O696" t="s">
        <v>28</v>
      </c>
      <c r="P696" s="2">
        <v>190</v>
      </c>
      <c r="Q696" t="s">
        <v>41</v>
      </c>
      <c r="R696" t="s">
        <v>30</v>
      </c>
      <c r="S696" t="s">
        <v>58</v>
      </c>
      <c r="T696" t="s">
        <v>32</v>
      </c>
    </row>
    <row r="697" spans="1:20" x14ac:dyDescent="0.25">
      <c r="A697" s="2">
        <v>696</v>
      </c>
      <c r="B697" s="2">
        <v>61184</v>
      </c>
      <c r="C697" t="s">
        <v>33</v>
      </c>
      <c r="D697" t="s">
        <v>52</v>
      </c>
      <c r="E697" t="s">
        <v>95</v>
      </c>
      <c r="F697" t="s">
        <v>21</v>
      </c>
      <c r="G697" t="s">
        <v>78</v>
      </c>
      <c r="H697" t="s">
        <v>73</v>
      </c>
      <c r="I697" t="s">
        <v>56</v>
      </c>
      <c r="J697" t="s">
        <v>25</v>
      </c>
      <c r="K697" s="6">
        <f t="shared" si="21"/>
        <v>2.2000000000000002</v>
      </c>
      <c r="L697" t="s">
        <v>64</v>
      </c>
      <c r="M697">
        <f t="shared" si="20"/>
        <v>7</v>
      </c>
      <c r="N697" t="s">
        <v>40</v>
      </c>
      <c r="O697" t="s">
        <v>103</v>
      </c>
      <c r="P697" s="2">
        <v>1274</v>
      </c>
      <c r="Q697" t="s">
        <v>74</v>
      </c>
      <c r="R697" t="s">
        <v>30</v>
      </c>
      <c r="S697" t="s">
        <v>69</v>
      </c>
      <c r="T697" t="s">
        <v>43</v>
      </c>
    </row>
    <row r="698" spans="1:20" x14ac:dyDescent="0.25">
      <c r="A698" s="2">
        <v>697</v>
      </c>
      <c r="B698" s="2">
        <v>21160</v>
      </c>
      <c r="C698" t="s">
        <v>96</v>
      </c>
      <c r="D698" t="s">
        <v>52</v>
      </c>
      <c r="E698" t="s">
        <v>89</v>
      </c>
      <c r="F698" t="s">
        <v>90</v>
      </c>
      <c r="G698" t="s">
        <v>92</v>
      </c>
      <c r="H698" t="s">
        <v>37</v>
      </c>
      <c r="I698" t="s">
        <v>67</v>
      </c>
      <c r="J698" t="s">
        <v>39</v>
      </c>
      <c r="K698" s="6">
        <f t="shared" si="21"/>
        <v>2.2000000000000002</v>
      </c>
      <c r="L698" t="s">
        <v>64</v>
      </c>
      <c r="M698">
        <f t="shared" si="20"/>
        <v>7</v>
      </c>
      <c r="N698" t="s">
        <v>27</v>
      </c>
      <c r="O698" t="s">
        <v>102</v>
      </c>
      <c r="P698" s="2">
        <v>2446</v>
      </c>
      <c r="Q698" t="s">
        <v>29</v>
      </c>
      <c r="R698" t="s">
        <v>30</v>
      </c>
      <c r="S698" t="s">
        <v>58</v>
      </c>
      <c r="T698" t="s">
        <v>59</v>
      </c>
    </row>
    <row r="699" spans="1:20" x14ac:dyDescent="0.25">
      <c r="A699" s="2">
        <v>698</v>
      </c>
      <c r="B699" s="2">
        <v>97355</v>
      </c>
      <c r="C699" t="s">
        <v>19</v>
      </c>
      <c r="D699" t="s">
        <v>52</v>
      </c>
      <c r="E699" t="s">
        <v>76</v>
      </c>
      <c r="F699" t="s">
        <v>77</v>
      </c>
      <c r="G699" t="s">
        <v>22</v>
      </c>
      <c r="H699" t="s">
        <v>71</v>
      </c>
      <c r="I699" t="s">
        <v>56</v>
      </c>
      <c r="J699" t="s">
        <v>57</v>
      </c>
      <c r="K699" s="6">
        <f t="shared" si="21"/>
        <v>2.2000000000000002</v>
      </c>
      <c r="L699" t="s">
        <v>49</v>
      </c>
      <c r="M699">
        <f t="shared" si="20"/>
        <v>3</v>
      </c>
      <c r="N699" t="s">
        <v>27</v>
      </c>
      <c r="O699" t="s">
        <v>28</v>
      </c>
      <c r="P699" s="2">
        <v>207</v>
      </c>
      <c r="Q699" t="s">
        <v>74</v>
      </c>
      <c r="R699" t="s">
        <v>30</v>
      </c>
      <c r="S699" t="s">
        <v>58</v>
      </c>
      <c r="T699" t="s">
        <v>43</v>
      </c>
    </row>
    <row r="700" spans="1:20" x14ac:dyDescent="0.25">
      <c r="A700" s="2">
        <v>699</v>
      </c>
      <c r="B700" s="2">
        <v>85155</v>
      </c>
      <c r="C700" t="s">
        <v>33</v>
      </c>
      <c r="D700" t="s">
        <v>52</v>
      </c>
      <c r="E700" t="s">
        <v>61</v>
      </c>
      <c r="F700" t="s">
        <v>62</v>
      </c>
      <c r="G700" t="s">
        <v>70</v>
      </c>
      <c r="H700" t="s">
        <v>46</v>
      </c>
      <c r="I700" t="s">
        <v>83</v>
      </c>
      <c r="J700" t="s">
        <v>25</v>
      </c>
      <c r="K700" s="6">
        <f t="shared" si="21"/>
        <v>1.1000000000000001</v>
      </c>
      <c r="L700" t="s">
        <v>49</v>
      </c>
      <c r="M700">
        <f t="shared" si="20"/>
        <v>3</v>
      </c>
      <c r="N700" t="s">
        <v>104</v>
      </c>
      <c r="O700" t="s">
        <v>103</v>
      </c>
      <c r="P700" s="2">
        <v>330</v>
      </c>
      <c r="Q700" t="s">
        <v>74</v>
      </c>
      <c r="R700" t="s">
        <v>42</v>
      </c>
      <c r="S700" t="s">
        <v>31</v>
      </c>
      <c r="T700" t="s">
        <v>59</v>
      </c>
    </row>
    <row r="701" spans="1:20" x14ac:dyDescent="0.25">
      <c r="A701" s="2">
        <v>700</v>
      </c>
      <c r="B701" s="2">
        <v>91233</v>
      </c>
      <c r="C701" t="s">
        <v>33</v>
      </c>
      <c r="D701" t="s">
        <v>66</v>
      </c>
      <c r="E701" t="s">
        <v>44</v>
      </c>
      <c r="F701" t="s">
        <v>44</v>
      </c>
      <c r="G701" t="s">
        <v>36</v>
      </c>
      <c r="H701" t="s">
        <v>71</v>
      </c>
      <c r="I701" t="s">
        <v>47</v>
      </c>
      <c r="J701" t="s">
        <v>86</v>
      </c>
      <c r="K701" s="6">
        <f t="shared" si="21"/>
        <v>1.25</v>
      </c>
      <c r="L701" t="s">
        <v>64</v>
      </c>
      <c r="M701">
        <f t="shared" si="20"/>
        <v>7</v>
      </c>
      <c r="N701" t="s">
        <v>40</v>
      </c>
      <c r="O701" t="s">
        <v>28</v>
      </c>
      <c r="P701" s="2">
        <v>169</v>
      </c>
      <c r="Q701" t="s">
        <v>104</v>
      </c>
      <c r="R701" t="s">
        <v>42</v>
      </c>
      <c r="S701" t="s">
        <v>69</v>
      </c>
      <c r="T701" t="s">
        <v>43</v>
      </c>
    </row>
    <row r="702" spans="1:20" x14ac:dyDescent="0.25">
      <c r="A702" s="2">
        <v>701</v>
      </c>
      <c r="B702" s="2">
        <v>86862</v>
      </c>
      <c r="C702" t="s">
        <v>51</v>
      </c>
      <c r="D702" t="s">
        <v>52</v>
      </c>
      <c r="E702" t="s">
        <v>61</v>
      </c>
      <c r="F702" t="s">
        <v>62</v>
      </c>
      <c r="G702" t="s">
        <v>81</v>
      </c>
      <c r="H702" t="s">
        <v>46</v>
      </c>
      <c r="I702" t="s">
        <v>47</v>
      </c>
      <c r="J702" t="s">
        <v>57</v>
      </c>
      <c r="K702" s="6">
        <f t="shared" si="21"/>
        <v>1.25</v>
      </c>
      <c r="L702" t="s">
        <v>64</v>
      </c>
      <c r="M702">
        <f t="shared" si="20"/>
        <v>7</v>
      </c>
      <c r="N702" t="s">
        <v>40</v>
      </c>
      <c r="O702" t="s">
        <v>28</v>
      </c>
      <c r="P702" s="2">
        <v>569</v>
      </c>
      <c r="Q702" t="s">
        <v>41</v>
      </c>
      <c r="R702" t="s">
        <v>42</v>
      </c>
      <c r="S702" t="s">
        <v>58</v>
      </c>
      <c r="T702" t="s">
        <v>59</v>
      </c>
    </row>
    <row r="703" spans="1:20" x14ac:dyDescent="0.25">
      <c r="A703" s="2">
        <v>702</v>
      </c>
      <c r="B703" s="2">
        <v>49529</v>
      </c>
      <c r="C703" t="s">
        <v>19</v>
      </c>
      <c r="D703" t="s">
        <v>52</v>
      </c>
      <c r="E703" t="s">
        <v>93</v>
      </c>
      <c r="F703" t="s">
        <v>62</v>
      </c>
      <c r="G703" t="s">
        <v>45</v>
      </c>
      <c r="H703" t="s">
        <v>71</v>
      </c>
      <c r="I703" t="s">
        <v>47</v>
      </c>
      <c r="J703" t="s">
        <v>57</v>
      </c>
      <c r="K703" s="6">
        <f t="shared" si="21"/>
        <v>2.5</v>
      </c>
      <c r="L703" t="s">
        <v>64</v>
      </c>
      <c r="M703">
        <f t="shared" si="20"/>
        <v>7</v>
      </c>
      <c r="N703" t="s">
        <v>27</v>
      </c>
      <c r="O703" t="s">
        <v>28</v>
      </c>
      <c r="P703" s="2">
        <v>228</v>
      </c>
      <c r="Q703" t="s">
        <v>41</v>
      </c>
      <c r="R703" t="s">
        <v>30</v>
      </c>
      <c r="S703" t="s">
        <v>31</v>
      </c>
      <c r="T703" t="s">
        <v>43</v>
      </c>
    </row>
    <row r="704" spans="1:20" x14ac:dyDescent="0.25">
      <c r="A704" s="2">
        <v>703</v>
      </c>
      <c r="B704" s="2">
        <v>71802</v>
      </c>
      <c r="C704" t="s">
        <v>60</v>
      </c>
      <c r="D704" t="s">
        <v>52</v>
      </c>
      <c r="E704" t="s">
        <v>79</v>
      </c>
      <c r="F704" t="s">
        <v>80</v>
      </c>
      <c r="G704" t="s">
        <v>22</v>
      </c>
      <c r="H704" t="s">
        <v>23</v>
      </c>
      <c r="I704" t="s">
        <v>38</v>
      </c>
      <c r="J704" t="s">
        <v>48</v>
      </c>
      <c r="K704" s="6">
        <f t="shared" si="21"/>
        <v>2</v>
      </c>
      <c r="L704" t="s">
        <v>64</v>
      </c>
      <c r="M704">
        <f t="shared" si="20"/>
        <v>7</v>
      </c>
      <c r="N704" t="s">
        <v>27</v>
      </c>
      <c r="O704" t="s">
        <v>103</v>
      </c>
      <c r="P704" s="2">
        <v>530</v>
      </c>
      <c r="Q704" t="s">
        <v>104</v>
      </c>
      <c r="R704" t="s">
        <v>75</v>
      </c>
      <c r="S704" t="s">
        <v>69</v>
      </c>
      <c r="T704" t="s">
        <v>43</v>
      </c>
    </row>
    <row r="705" spans="1:20" x14ac:dyDescent="0.25">
      <c r="A705" s="2">
        <v>704</v>
      </c>
      <c r="B705" s="2">
        <v>95128</v>
      </c>
      <c r="C705" t="s">
        <v>51</v>
      </c>
      <c r="D705" t="s">
        <v>52</v>
      </c>
      <c r="E705" t="s">
        <v>93</v>
      </c>
      <c r="F705" t="s">
        <v>62</v>
      </c>
      <c r="G705" t="s">
        <v>81</v>
      </c>
      <c r="H705" t="s">
        <v>23</v>
      </c>
      <c r="I705" t="s">
        <v>91</v>
      </c>
      <c r="J705" t="s">
        <v>57</v>
      </c>
      <c r="K705" s="6">
        <f t="shared" si="21"/>
        <v>1.1000000000000001</v>
      </c>
      <c r="L705" t="s">
        <v>64</v>
      </c>
      <c r="M705">
        <f t="shared" si="20"/>
        <v>7</v>
      </c>
      <c r="N705" t="s">
        <v>27</v>
      </c>
      <c r="O705" t="s">
        <v>28</v>
      </c>
      <c r="P705" s="2">
        <v>559</v>
      </c>
      <c r="Q705" t="s">
        <v>41</v>
      </c>
      <c r="R705" t="s">
        <v>42</v>
      </c>
      <c r="S705" t="s">
        <v>58</v>
      </c>
      <c r="T705" t="s">
        <v>43</v>
      </c>
    </row>
    <row r="706" spans="1:20" x14ac:dyDescent="0.25">
      <c r="A706" s="2">
        <v>705</v>
      </c>
      <c r="B706" s="2">
        <v>89186</v>
      </c>
      <c r="C706" t="s">
        <v>33</v>
      </c>
      <c r="D706" t="s">
        <v>52</v>
      </c>
      <c r="E706" t="s">
        <v>101</v>
      </c>
      <c r="F706" t="s">
        <v>80</v>
      </c>
      <c r="G706" t="s">
        <v>55</v>
      </c>
      <c r="H706" t="s">
        <v>46</v>
      </c>
      <c r="I706" t="s">
        <v>67</v>
      </c>
      <c r="J706" t="s">
        <v>57</v>
      </c>
      <c r="K706" s="6">
        <f t="shared" si="21"/>
        <v>2.2000000000000002</v>
      </c>
      <c r="L706" t="s">
        <v>64</v>
      </c>
      <c r="M706">
        <f t="shared" ref="M706:M769" si="22">IF(L706="daily",7,IF(L706="weekly",3,1))</f>
        <v>7</v>
      </c>
      <c r="N706" t="s">
        <v>27</v>
      </c>
      <c r="O706" t="s">
        <v>72</v>
      </c>
      <c r="P706" s="2">
        <v>262</v>
      </c>
      <c r="Q706" t="s">
        <v>74</v>
      </c>
      <c r="R706" t="s">
        <v>30</v>
      </c>
      <c r="S706" t="s">
        <v>31</v>
      </c>
      <c r="T706" t="s">
        <v>32</v>
      </c>
    </row>
    <row r="707" spans="1:20" x14ac:dyDescent="0.25">
      <c r="A707" s="2">
        <v>706</v>
      </c>
      <c r="B707" s="2">
        <v>88489</v>
      </c>
      <c r="C707" t="s">
        <v>51</v>
      </c>
      <c r="D707" t="s">
        <v>52</v>
      </c>
      <c r="E707" t="s">
        <v>99</v>
      </c>
      <c r="F707" t="s">
        <v>100</v>
      </c>
      <c r="G707" t="s">
        <v>55</v>
      </c>
      <c r="H707" t="s">
        <v>71</v>
      </c>
      <c r="I707" t="s">
        <v>24</v>
      </c>
      <c r="J707" t="s">
        <v>86</v>
      </c>
      <c r="K707" s="6">
        <f t="shared" ref="K707:K770" si="23">IF(R707="Morning",2,IF(R707="Night",2,IF(R707="Evening",1,0.5)))
*
IF(I707="Espresso",0.75,IF(I707="Cold Brew",1.25,IF(I707="Filter Coffee",1.2,IF(I707="Instant Coffee",1,1.1))))</f>
        <v>2.4</v>
      </c>
      <c r="L707" t="s">
        <v>64</v>
      </c>
      <c r="M707">
        <f t="shared" si="22"/>
        <v>7</v>
      </c>
      <c r="N707" t="s">
        <v>40</v>
      </c>
      <c r="O707" t="s">
        <v>103</v>
      </c>
      <c r="P707" s="2">
        <v>358</v>
      </c>
      <c r="Q707" t="s">
        <v>104</v>
      </c>
      <c r="R707" t="s">
        <v>75</v>
      </c>
      <c r="S707" t="s">
        <v>31</v>
      </c>
      <c r="T707" t="s">
        <v>32</v>
      </c>
    </row>
    <row r="708" spans="1:20" x14ac:dyDescent="0.25">
      <c r="A708" s="2">
        <v>707</v>
      </c>
      <c r="B708" s="2">
        <v>88259</v>
      </c>
      <c r="C708" t="s">
        <v>19</v>
      </c>
      <c r="D708" t="s">
        <v>66</v>
      </c>
      <c r="E708" t="s">
        <v>44</v>
      </c>
      <c r="F708" t="s">
        <v>44</v>
      </c>
      <c r="G708" t="s">
        <v>55</v>
      </c>
      <c r="H708" t="s">
        <v>46</v>
      </c>
      <c r="I708" t="s">
        <v>56</v>
      </c>
      <c r="J708" t="s">
        <v>86</v>
      </c>
      <c r="K708" s="6">
        <f t="shared" si="23"/>
        <v>2.2000000000000002</v>
      </c>
      <c r="L708" t="s">
        <v>64</v>
      </c>
      <c r="M708">
        <f t="shared" si="22"/>
        <v>7</v>
      </c>
      <c r="N708" t="s">
        <v>27</v>
      </c>
      <c r="O708" t="s">
        <v>65</v>
      </c>
      <c r="P708" s="2">
        <v>352</v>
      </c>
      <c r="Q708" t="s">
        <v>104</v>
      </c>
      <c r="R708" t="s">
        <v>30</v>
      </c>
      <c r="S708" t="s">
        <v>69</v>
      </c>
      <c r="T708" t="s">
        <v>43</v>
      </c>
    </row>
    <row r="709" spans="1:20" x14ac:dyDescent="0.25">
      <c r="A709" s="2">
        <v>708</v>
      </c>
      <c r="B709" s="2">
        <v>13557</v>
      </c>
      <c r="C709" t="s">
        <v>33</v>
      </c>
      <c r="D709" t="s">
        <v>52</v>
      </c>
      <c r="E709" t="s">
        <v>84</v>
      </c>
      <c r="F709" t="s">
        <v>85</v>
      </c>
      <c r="G709" t="s">
        <v>81</v>
      </c>
      <c r="H709" t="s">
        <v>37</v>
      </c>
      <c r="I709" t="s">
        <v>83</v>
      </c>
      <c r="J709" t="s">
        <v>39</v>
      </c>
      <c r="K709" s="6">
        <f t="shared" si="23"/>
        <v>2.2000000000000002</v>
      </c>
      <c r="L709" t="s">
        <v>64</v>
      </c>
      <c r="M709">
        <f t="shared" si="22"/>
        <v>7</v>
      </c>
      <c r="N709" t="s">
        <v>104</v>
      </c>
      <c r="O709" t="s">
        <v>28</v>
      </c>
      <c r="P709" s="2">
        <v>1746</v>
      </c>
      <c r="Q709" t="s">
        <v>41</v>
      </c>
      <c r="R709" t="s">
        <v>30</v>
      </c>
      <c r="S709" t="s">
        <v>69</v>
      </c>
      <c r="T709" t="s">
        <v>32</v>
      </c>
    </row>
    <row r="710" spans="1:20" x14ac:dyDescent="0.25">
      <c r="A710" s="2">
        <v>709</v>
      </c>
      <c r="B710" s="2">
        <v>13913</v>
      </c>
      <c r="C710" t="s">
        <v>96</v>
      </c>
      <c r="D710" t="s">
        <v>52</v>
      </c>
      <c r="E710" t="s">
        <v>34</v>
      </c>
      <c r="F710" t="s">
        <v>35</v>
      </c>
      <c r="G710" t="s">
        <v>36</v>
      </c>
      <c r="H710" t="s">
        <v>23</v>
      </c>
      <c r="I710" t="s">
        <v>38</v>
      </c>
      <c r="J710" t="s">
        <v>57</v>
      </c>
      <c r="K710" s="6">
        <f t="shared" si="23"/>
        <v>2</v>
      </c>
      <c r="L710" t="s">
        <v>26</v>
      </c>
      <c r="M710">
        <f t="shared" si="22"/>
        <v>1</v>
      </c>
      <c r="N710" t="s">
        <v>40</v>
      </c>
      <c r="O710" t="s">
        <v>103</v>
      </c>
      <c r="P710" s="2">
        <v>736</v>
      </c>
      <c r="Q710" t="s">
        <v>29</v>
      </c>
      <c r="R710" t="s">
        <v>30</v>
      </c>
      <c r="S710" t="s">
        <v>50</v>
      </c>
      <c r="T710" t="s">
        <v>43</v>
      </c>
    </row>
    <row r="711" spans="1:20" x14ac:dyDescent="0.25">
      <c r="A711" s="2">
        <v>710</v>
      </c>
      <c r="B711" s="2">
        <v>46822</v>
      </c>
      <c r="C711" t="s">
        <v>19</v>
      </c>
      <c r="D711" t="s">
        <v>52</v>
      </c>
      <c r="E711" t="s">
        <v>61</v>
      </c>
      <c r="F711" t="s">
        <v>62</v>
      </c>
      <c r="G711" t="s">
        <v>92</v>
      </c>
      <c r="H711" t="s">
        <v>71</v>
      </c>
      <c r="I711" t="s">
        <v>94</v>
      </c>
      <c r="J711" t="s">
        <v>57</v>
      </c>
      <c r="K711" s="6">
        <f t="shared" si="23"/>
        <v>0.375</v>
      </c>
      <c r="L711" t="s">
        <v>64</v>
      </c>
      <c r="M711">
        <f t="shared" si="22"/>
        <v>7</v>
      </c>
      <c r="N711" t="s">
        <v>27</v>
      </c>
      <c r="O711" t="s">
        <v>103</v>
      </c>
      <c r="P711" s="2">
        <v>267</v>
      </c>
      <c r="Q711" t="s">
        <v>74</v>
      </c>
      <c r="R711" t="s">
        <v>68</v>
      </c>
      <c r="S711" t="s">
        <v>58</v>
      </c>
      <c r="T711" t="s">
        <v>59</v>
      </c>
    </row>
    <row r="712" spans="1:20" x14ac:dyDescent="0.25">
      <c r="A712" s="2">
        <v>711</v>
      </c>
      <c r="B712" s="2">
        <v>56695</v>
      </c>
      <c r="C712" t="s">
        <v>60</v>
      </c>
      <c r="D712" t="s">
        <v>52</v>
      </c>
      <c r="E712" t="s">
        <v>93</v>
      </c>
      <c r="F712" t="s">
        <v>62</v>
      </c>
      <c r="G712" t="s">
        <v>78</v>
      </c>
      <c r="H712" t="s">
        <v>37</v>
      </c>
      <c r="I712" t="s">
        <v>24</v>
      </c>
      <c r="J712" t="s">
        <v>57</v>
      </c>
      <c r="K712" s="6">
        <f t="shared" si="23"/>
        <v>1.2</v>
      </c>
      <c r="L712" t="s">
        <v>64</v>
      </c>
      <c r="M712">
        <f t="shared" si="22"/>
        <v>7</v>
      </c>
      <c r="N712" t="s">
        <v>27</v>
      </c>
      <c r="O712" t="s">
        <v>82</v>
      </c>
      <c r="P712" s="2">
        <v>2261</v>
      </c>
      <c r="Q712" t="s">
        <v>74</v>
      </c>
      <c r="R712" t="s">
        <v>42</v>
      </c>
      <c r="S712" t="s">
        <v>58</v>
      </c>
      <c r="T712" t="s">
        <v>43</v>
      </c>
    </row>
    <row r="713" spans="1:20" x14ac:dyDescent="0.25">
      <c r="A713" s="2">
        <v>712</v>
      </c>
      <c r="B713" s="2">
        <v>95129</v>
      </c>
      <c r="C713" t="s">
        <v>33</v>
      </c>
      <c r="D713" t="s">
        <v>52</v>
      </c>
      <c r="E713" t="s">
        <v>61</v>
      </c>
      <c r="F713" t="s">
        <v>62</v>
      </c>
      <c r="G713" t="s">
        <v>45</v>
      </c>
      <c r="H713" t="s">
        <v>46</v>
      </c>
      <c r="I713" t="s">
        <v>47</v>
      </c>
      <c r="J713" t="s">
        <v>48</v>
      </c>
      <c r="K713" s="6">
        <f t="shared" si="23"/>
        <v>2.5</v>
      </c>
      <c r="L713" t="s">
        <v>64</v>
      </c>
      <c r="M713">
        <f t="shared" si="22"/>
        <v>7</v>
      </c>
      <c r="N713" t="s">
        <v>104</v>
      </c>
      <c r="O713" t="s">
        <v>103</v>
      </c>
      <c r="P713" s="2">
        <v>317</v>
      </c>
      <c r="Q713" t="s">
        <v>29</v>
      </c>
      <c r="R713" t="s">
        <v>75</v>
      </c>
      <c r="S713" t="s">
        <v>50</v>
      </c>
      <c r="T713" t="s">
        <v>59</v>
      </c>
    </row>
    <row r="714" spans="1:20" x14ac:dyDescent="0.25">
      <c r="A714" s="2">
        <v>713</v>
      </c>
      <c r="B714" s="2">
        <v>11946</v>
      </c>
      <c r="C714" t="s">
        <v>19</v>
      </c>
      <c r="D714" t="s">
        <v>52</v>
      </c>
      <c r="E714" t="s">
        <v>101</v>
      </c>
      <c r="F714" t="s">
        <v>80</v>
      </c>
      <c r="G714" t="s">
        <v>45</v>
      </c>
      <c r="H714" t="s">
        <v>23</v>
      </c>
      <c r="I714" t="s">
        <v>24</v>
      </c>
      <c r="J714" t="s">
        <v>25</v>
      </c>
      <c r="K714" s="6">
        <f t="shared" si="23"/>
        <v>1.2</v>
      </c>
      <c r="L714" t="s">
        <v>64</v>
      </c>
      <c r="M714">
        <f t="shared" si="22"/>
        <v>7</v>
      </c>
      <c r="N714" t="s">
        <v>104</v>
      </c>
      <c r="O714" t="s">
        <v>103</v>
      </c>
      <c r="P714" s="2">
        <v>834</v>
      </c>
      <c r="Q714" t="s">
        <v>104</v>
      </c>
      <c r="R714" t="s">
        <v>42</v>
      </c>
      <c r="S714" t="s">
        <v>31</v>
      </c>
      <c r="T714" t="s">
        <v>32</v>
      </c>
    </row>
    <row r="715" spans="1:20" x14ac:dyDescent="0.25">
      <c r="A715" s="2">
        <v>714</v>
      </c>
      <c r="B715" s="2">
        <v>45132</v>
      </c>
      <c r="C715" t="s">
        <v>19</v>
      </c>
      <c r="D715" t="s">
        <v>52</v>
      </c>
      <c r="E715" t="s">
        <v>99</v>
      </c>
      <c r="F715" t="s">
        <v>100</v>
      </c>
      <c r="G715" t="s">
        <v>70</v>
      </c>
      <c r="H715" t="s">
        <v>46</v>
      </c>
      <c r="I715" t="s">
        <v>24</v>
      </c>
      <c r="J715" t="s">
        <v>57</v>
      </c>
      <c r="K715" s="6">
        <f t="shared" si="23"/>
        <v>0.6</v>
      </c>
      <c r="L715" t="s">
        <v>26</v>
      </c>
      <c r="M715">
        <f t="shared" si="22"/>
        <v>1</v>
      </c>
      <c r="N715" t="s">
        <v>27</v>
      </c>
      <c r="O715" t="s">
        <v>103</v>
      </c>
      <c r="P715" s="2">
        <v>527</v>
      </c>
      <c r="Q715" t="s">
        <v>29</v>
      </c>
      <c r="R715" t="s">
        <v>68</v>
      </c>
      <c r="S715" t="s">
        <v>69</v>
      </c>
      <c r="T715" t="s">
        <v>32</v>
      </c>
    </row>
    <row r="716" spans="1:20" x14ac:dyDescent="0.25">
      <c r="A716" s="2">
        <v>715</v>
      </c>
      <c r="B716" s="2">
        <v>69097</v>
      </c>
      <c r="C716" t="s">
        <v>19</v>
      </c>
      <c r="D716" t="s">
        <v>52</v>
      </c>
      <c r="E716" t="s">
        <v>20</v>
      </c>
      <c r="F716" t="s">
        <v>21</v>
      </c>
      <c r="G716" t="s">
        <v>81</v>
      </c>
      <c r="H716" t="s">
        <v>23</v>
      </c>
      <c r="I716" t="s">
        <v>56</v>
      </c>
      <c r="J716" t="s">
        <v>57</v>
      </c>
      <c r="K716" s="6">
        <f t="shared" si="23"/>
        <v>2.2000000000000002</v>
      </c>
      <c r="L716" t="s">
        <v>64</v>
      </c>
      <c r="M716">
        <f t="shared" si="22"/>
        <v>7</v>
      </c>
      <c r="N716" t="s">
        <v>27</v>
      </c>
      <c r="O716" t="s">
        <v>103</v>
      </c>
      <c r="P716" s="2">
        <v>445</v>
      </c>
      <c r="Q716" t="s">
        <v>29</v>
      </c>
      <c r="R716" t="s">
        <v>75</v>
      </c>
      <c r="S716" t="s">
        <v>50</v>
      </c>
      <c r="T716" t="s">
        <v>32</v>
      </c>
    </row>
    <row r="717" spans="1:20" x14ac:dyDescent="0.25">
      <c r="A717" s="2">
        <v>716</v>
      </c>
      <c r="B717" s="2">
        <v>87424</v>
      </c>
      <c r="C717" t="s">
        <v>33</v>
      </c>
      <c r="D717" t="s">
        <v>66</v>
      </c>
      <c r="E717" t="s">
        <v>79</v>
      </c>
      <c r="F717" t="s">
        <v>80</v>
      </c>
      <c r="G717" t="s">
        <v>92</v>
      </c>
      <c r="H717" t="s">
        <v>23</v>
      </c>
      <c r="I717" t="s">
        <v>24</v>
      </c>
      <c r="J717" t="s">
        <v>25</v>
      </c>
      <c r="K717" s="6">
        <f t="shared" si="23"/>
        <v>0.6</v>
      </c>
      <c r="L717" t="s">
        <v>64</v>
      </c>
      <c r="M717">
        <f t="shared" si="22"/>
        <v>7</v>
      </c>
      <c r="N717" t="s">
        <v>40</v>
      </c>
      <c r="O717" t="s">
        <v>28</v>
      </c>
      <c r="P717" s="2">
        <v>817</v>
      </c>
      <c r="Q717" t="s">
        <v>104</v>
      </c>
      <c r="R717" t="s">
        <v>68</v>
      </c>
      <c r="S717" t="s">
        <v>69</v>
      </c>
      <c r="T717" t="s">
        <v>43</v>
      </c>
    </row>
    <row r="718" spans="1:20" x14ac:dyDescent="0.25">
      <c r="A718" s="2">
        <v>717</v>
      </c>
      <c r="B718" s="2">
        <v>80897</v>
      </c>
      <c r="C718" t="s">
        <v>51</v>
      </c>
      <c r="D718" t="s">
        <v>66</v>
      </c>
      <c r="E718" t="s">
        <v>61</v>
      </c>
      <c r="F718" t="s">
        <v>62</v>
      </c>
      <c r="G718" t="s">
        <v>55</v>
      </c>
      <c r="H718" t="s">
        <v>73</v>
      </c>
      <c r="I718" t="s">
        <v>67</v>
      </c>
      <c r="J718" t="s">
        <v>57</v>
      </c>
      <c r="K718" s="6">
        <f t="shared" si="23"/>
        <v>1.1000000000000001</v>
      </c>
      <c r="L718" t="s">
        <v>64</v>
      </c>
      <c r="M718">
        <f t="shared" si="22"/>
        <v>7</v>
      </c>
      <c r="N718" t="s">
        <v>40</v>
      </c>
      <c r="O718" t="s">
        <v>103</v>
      </c>
      <c r="P718" s="2">
        <v>1313</v>
      </c>
      <c r="Q718" t="s">
        <v>74</v>
      </c>
      <c r="R718" t="s">
        <v>42</v>
      </c>
      <c r="S718" t="s">
        <v>58</v>
      </c>
      <c r="T718" t="s">
        <v>59</v>
      </c>
    </row>
    <row r="719" spans="1:20" x14ac:dyDescent="0.25">
      <c r="A719" s="2">
        <v>718</v>
      </c>
      <c r="B719" s="2">
        <v>77969</v>
      </c>
      <c r="C719" t="s">
        <v>96</v>
      </c>
      <c r="D719" t="s">
        <v>66</v>
      </c>
      <c r="E719" t="s">
        <v>79</v>
      </c>
      <c r="F719" t="s">
        <v>80</v>
      </c>
      <c r="G719" t="s">
        <v>81</v>
      </c>
      <c r="H719" t="s">
        <v>73</v>
      </c>
      <c r="I719" t="s">
        <v>24</v>
      </c>
      <c r="J719" t="s">
        <v>25</v>
      </c>
      <c r="K719" s="6">
        <f t="shared" si="23"/>
        <v>1.2</v>
      </c>
      <c r="L719" t="s">
        <v>49</v>
      </c>
      <c r="M719">
        <f t="shared" si="22"/>
        <v>3</v>
      </c>
      <c r="N719" t="s">
        <v>27</v>
      </c>
      <c r="O719" t="s">
        <v>28</v>
      </c>
      <c r="P719" s="2">
        <v>815</v>
      </c>
      <c r="Q719" t="s">
        <v>74</v>
      </c>
      <c r="R719" t="s">
        <v>42</v>
      </c>
      <c r="S719" t="s">
        <v>69</v>
      </c>
      <c r="T719" t="s">
        <v>43</v>
      </c>
    </row>
    <row r="720" spans="1:20" x14ac:dyDescent="0.25">
      <c r="A720" s="2">
        <v>719</v>
      </c>
      <c r="B720" s="2">
        <v>30496</v>
      </c>
      <c r="C720" t="s">
        <v>33</v>
      </c>
      <c r="D720" t="s">
        <v>66</v>
      </c>
      <c r="E720" t="s">
        <v>87</v>
      </c>
      <c r="F720" t="s">
        <v>88</v>
      </c>
      <c r="G720" t="s">
        <v>78</v>
      </c>
      <c r="H720" t="s">
        <v>71</v>
      </c>
      <c r="I720" t="s">
        <v>47</v>
      </c>
      <c r="J720" t="s">
        <v>48</v>
      </c>
      <c r="K720" s="6">
        <f t="shared" si="23"/>
        <v>2.5</v>
      </c>
      <c r="L720" t="s">
        <v>64</v>
      </c>
      <c r="M720">
        <f t="shared" si="22"/>
        <v>7</v>
      </c>
      <c r="N720" t="s">
        <v>27</v>
      </c>
      <c r="O720" t="s">
        <v>103</v>
      </c>
      <c r="P720" s="2">
        <v>246</v>
      </c>
      <c r="Q720" t="s">
        <v>29</v>
      </c>
      <c r="R720" t="s">
        <v>75</v>
      </c>
      <c r="S720" t="s">
        <v>69</v>
      </c>
      <c r="T720" t="s">
        <v>59</v>
      </c>
    </row>
    <row r="721" spans="1:20" x14ac:dyDescent="0.25">
      <c r="A721" s="2">
        <v>720</v>
      </c>
      <c r="B721" s="2">
        <v>28455</v>
      </c>
      <c r="C721" t="s">
        <v>33</v>
      </c>
      <c r="D721" t="s">
        <v>52</v>
      </c>
      <c r="E721" t="s">
        <v>20</v>
      </c>
      <c r="F721" t="s">
        <v>21</v>
      </c>
      <c r="G721" t="s">
        <v>78</v>
      </c>
      <c r="H721" t="s">
        <v>37</v>
      </c>
      <c r="I721" t="s">
        <v>67</v>
      </c>
      <c r="J721" t="s">
        <v>86</v>
      </c>
      <c r="K721" s="6">
        <f t="shared" si="23"/>
        <v>1.1000000000000001</v>
      </c>
      <c r="L721" t="s">
        <v>64</v>
      </c>
      <c r="M721">
        <f t="shared" si="22"/>
        <v>7</v>
      </c>
      <c r="N721" t="s">
        <v>27</v>
      </c>
      <c r="O721" t="s">
        <v>103</v>
      </c>
      <c r="P721" s="2">
        <v>2401</v>
      </c>
      <c r="Q721" t="s">
        <v>74</v>
      </c>
      <c r="R721" t="s">
        <v>42</v>
      </c>
      <c r="S721" t="s">
        <v>58</v>
      </c>
      <c r="T721" t="s">
        <v>32</v>
      </c>
    </row>
    <row r="722" spans="1:20" x14ac:dyDescent="0.25">
      <c r="A722" s="2">
        <v>721</v>
      </c>
      <c r="B722" s="2">
        <v>48266</v>
      </c>
      <c r="C722" t="s">
        <v>33</v>
      </c>
      <c r="D722" t="s">
        <v>52</v>
      </c>
      <c r="E722" t="s">
        <v>44</v>
      </c>
      <c r="F722" t="s">
        <v>44</v>
      </c>
      <c r="G722" t="s">
        <v>22</v>
      </c>
      <c r="H722" t="s">
        <v>37</v>
      </c>
      <c r="I722" t="s">
        <v>94</v>
      </c>
      <c r="J722" t="s">
        <v>48</v>
      </c>
      <c r="K722" s="6">
        <f t="shared" si="23"/>
        <v>0.375</v>
      </c>
      <c r="L722" t="s">
        <v>64</v>
      </c>
      <c r="M722">
        <f t="shared" si="22"/>
        <v>7</v>
      </c>
      <c r="N722" t="s">
        <v>27</v>
      </c>
      <c r="O722" t="s">
        <v>28</v>
      </c>
      <c r="P722" s="2">
        <v>2239</v>
      </c>
      <c r="Q722" t="s">
        <v>29</v>
      </c>
      <c r="R722" t="s">
        <v>68</v>
      </c>
      <c r="S722" t="s">
        <v>50</v>
      </c>
      <c r="T722" t="s">
        <v>43</v>
      </c>
    </row>
    <row r="723" spans="1:20" x14ac:dyDescent="0.25">
      <c r="A723" s="2">
        <v>722</v>
      </c>
      <c r="B723" s="2">
        <v>63731</v>
      </c>
      <c r="C723" t="s">
        <v>60</v>
      </c>
      <c r="D723" t="s">
        <v>52</v>
      </c>
      <c r="E723" t="s">
        <v>76</v>
      </c>
      <c r="F723" t="s">
        <v>77</v>
      </c>
      <c r="G723" t="s">
        <v>98</v>
      </c>
      <c r="H723" t="s">
        <v>37</v>
      </c>
      <c r="I723" t="s">
        <v>56</v>
      </c>
      <c r="J723" t="s">
        <v>57</v>
      </c>
      <c r="K723" s="6">
        <f t="shared" si="23"/>
        <v>0.55000000000000004</v>
      </c>
      <c r="L723" t="s">
        <v>64</v>
      </c>
      <c r="M723">
        <f t="shared" si="22"/>
        <v>7</v>
      </c>
      <c r="N723" t="s">
        <v>104</v>
      </c>
      <c r="O723" t="s">
        <v>28</v>
      </c>
      <c r="P723" s="2">
        <v>1999</v>
      </c>
      <c r="Q723" t="s">
        <v>104</v>
      </c>
      <c r="R723" t="s">
        <v>68</v>
      </c>
      <c r="S723" t="s">
        <v>50</v>
      </c>
      <c r="T723" t="s">
        <v>43</v>
      </c>
    </row>
    <row r="724" spans="1:20" x14ac:dyDescent="0.25">
      <c r="A724" s="2">
        <v>723</v>
      </c>
      <c r="B724" s="2">
        <v>85632</v>
      </c>
      <c r="C724" t="s">
        <v>33</v>
      </c>
      <c r="D724" t="s">
        <v>66</v>
      </c>
      <c r="E724" t="s">
        <v>34</v>
      </c>
      <c r="F724" t="s">
        <v>35</v>
      </c>
      <c r="G724" t="s">
        <v>70</v>
      </c>
      <c r="H724" t="s">
        <v>23</v>
      </c>
      <c r="I724" t="s">
        <v>47</v>
      </c>
      <c r="J724" t="s">
        <v>86</v>
      </c>
      <c r="K724" s="6">
        <f t="shared" si="23"/>
        <v>2.5</v>
      </c>
      <c r="L724" t="s">
        <v>64</v>
      </c>
      <c r="M724">
        <f t="shared" si="22"/>
        <v>7</v>
      </c>
      <c r="N724" t="s">
        <v>27</v>
      </c>
      <c r="O724" t="s">
        <v>102</v>
      </c>
      <c r="P724" s="2">
        <v>738</v>
      </c>
      <c r="Q724" t="s">
        <v>41</v>
      </c>
      <c r="R724" t="s">
        <v>75</v>
      </c>
      <c r="S724" t="s">
        <v>50</v>
      </c>
      <c r="T724" t="s">
        <v>43</v>
      </c>
    </row>
    <row r="725" spans="1:20" x14ac:dyDescent="0.25">
      <c r="A725" s="2">
        <v>724</v>
      </c>
      <c r="B725" s="2">
        <v>73758</v>
      </c>
      <c r="C725" t="s">
        <v>51</v>
      </c>
      <c r="D725" t="s">
        <v>66</v>
      </c>
      <c r="E725" t="s">
        <v>20</v>
      </c>
      <c r="F725" t="s">
        <v>21</v>
      </c>
      <c r="G725" t="s">
        <v>55</v>
      </c>
      <c r="H725" t="s">
        <v>46</v>
      </c>
      <c r="I725" t="s">
        <v>56</v>
      </c>
      <c r="J725" t="s">
        <v>86</v>
      </c>
      <c r="K725" s="6">
        <f t="shared" si="23"/>
        <v>1.1000000000000001</v>
      </c>
      <c r="L725" t="s">
        <v>26</v>
      </c>
      <c r="M725">
        <f t="shared" si="22"/>
        <v>1</v>
      </c>
      <c r="N725" t="s">
        <v>27</v>
      </c>
      <c r="O725" t="s">
        <v>103</v>
      </c>
      <c r="P725" s="2">
        <v>574</v>
      </c>
      <c r="Q725" t="s">
        <v>104</v>
      </c>
      <c r="R725" t="s">
        <v>42</v>
      </c>
      <c r="S725" t="s">
        <v>69</v>
      </c>
      <c r="T725" t="s">
        <v>32</v>
      </c>
    </row>
    <row r="726" spans="1:20" x14ac:dyDescent="0.25">
      <c r="A726" s="2">
        <v>725</v>
      </c>
      <c r="B726" s="2">
        <v>95506</v>
      </c>
      <c r="C726" t="s">
        <v>60</v>
      </c>
      <c r="D726" t="s">
        <v>66</v>
      </c>
      <c r="E726" t="s">
        <v>101</v>
      </c>
      <c r="F726" t="s">
        <v>80</v>
      </c>
      <c r="G726" t="s">
        <v>92</v>
      </c>
      <c r="H726" t="s">
        <v>23</v>
      </c>
      <c r="I726" t="s">
        <v>24</v>
      </c>
      <c r="J726" t="s">
        <v>25</v>
      </c>
      <c r="K726" s="6">
        <f t="shared" si="23"/>
        <v>1.2</v>
      </c>
      <c r="L726" t="s">
        <v>49</v>
      </c>
      <c r="M726">
        <f t="shared" si="22"/>
        <v>3</v>
      </c>
      <c r="N726" t="s">
        <v>40</v>
      </c>
      <c r="O726" t="s">
        <v>82</v>
      </c>
      <c r="P726" s="2">
        <v>401</v>
      </c>
      <c r="Q726" t="s">
        <v>104</v>
      </c>
      <c r="R726" t="s">
        <v>42</v>
      </c>
      <c r="S726" t="s">
        <v>69</v>
      </c>
      <c r="T726" t="s">
        <v>32</v>
      </c>
    </row>
    <row r="727" spans="1:20" x14ac:dyDescent="0.25">
      <c r="A727" s="2">
        <v>726</v>
      </c>
      <c r="B727" s="2">
        <v>55186</v>
      </c>
      <c r="C727" t="s">
        <v>51</v>
      </c>
      <c r="D727" t="s">
        <v>52</v>
      </c>
      <c r="E727" t="s">
        <v>44</v>
      </c>
      <c r="F727" t="s">
        <v>44</v>
      </c>
      <c r="G727" t="s">
        <v>98</v>
      </c>
      <c r="H727" t="s">
        <v>73</v>
      </c>
      <c r="I727" t="s">
        <v>83</v>
      </c>
      <c r="J727" t="s">
        <v>25</v>
      </c>
      <c r="K727" s="6">
        <f t="shared" si="23"/>
        <v>1.1000000000000001</v>
      </c>
      <c r="L727" t="s">
        <v>49</v>
      </c>
      <c r="M727">
        <f t="shared" si="22"/>
        <v>3</v>
      </c>
      <c r="N727" t="s">
        <v>40</v>
      </c>
      <c r="O727" t="s">
        <v>28</v>
      </c>
      <c r="P727" s="2">
        <v>1445</v>
      </c>
      <c r="Q727" t="s">
        <v>74</v>
      </c>
      <c r="R727" t="s">
        <v>42</v>
      </c>
      <c r="S727" t="s">
        <v>58</v>
      </c>
      <c r="T727" t="s">
        <v>43</v>
      </c>
    </row>
    <row r="728" spans="1:20" x14ac:dyDescent="0.25">
      <c r="A728" s="2">
        <v>727</v>
      </c>
      <c r="B728" s="2">
        <v>17657</v>
      </c>
      <c r="C728" t="s">
        <v>96</v>
      </c>
      <c r="D728" t="s">
        <v>66</v>
      </c>
      <c r="E728" t="s">
        <v>34</v>
      </c>
      <c r="F728" t="s">
        <v>35</v>
      </c>
      <c r="G728" t="s">
        <v>45</v>
      </c>
      <c r="H728" t="s">
        <v>46</v>
      </c>
      <c r="I728" t="s">
        <v>47</v>
      </c>
      <c r="J728" t="s">
        <v>57</v>
      </c>
      <c r="K728" s="6">
        <f t="shared" si="23"/>
        <v>0.625</v>
      </c>
      <c r="L728" t="s">
        <v>49</v>
      </c>
      <c r="M728">
        <f t="shared" si="22"/>
        <v>3</v>
      </c>
      <c r="N728" t="s">
        <v>40</v>
      </c>
      <c r="O728" t="s">
        <v>82</v>
      </c>
      <c r="P728" s="2">
        <v>517</v>
      </c>
      <c r="Q728" t="s">
        <v>104</v>
      </c>
      <c r="R728" t="s">
        <v>68</v>
      </c>
      <c r="S728" t="s">
        <v>58</v>
      </c>
      <c r="T728" t="s">
        <v>43</v>
      </c>
    </row>
    <row r="729" spans="1:20" x14ac:dyDescent="0.25">
      <c r="A729" s="2">
        <v>728</v>
      </c>
      <c r="B729" s="2">
        <v>67053</v>
      </c>
      <c r="C729" t="s">
        <v>33</v>
      </c>
      <c r="D729" t="s">
        <v>66</v>
      </c>
      <c r="E729" t="s">
        <v>53</v>
      </c>
      <c r="F729" t="s">
        <v>54</v>
      </c>
      <c r="G729" t="s">
        <v>22</v>
      </c>
      <c r="H729" t="s">
        <v>71</v>
      </c>
      <c r="I729" t="s">
        <v>38</v>
      </c>
      <c r="J729" t="s">
        <v>25</v>
      </c>
      <c r="K729" s="6">
        <f t="shared" si="23"/>
        <v>2</v>
      </c>
      <c r="L729" t="s">
        <v>64</v>
      </c>
      <c r="M729">
        <f t="shared" si="22"/>
        <v>7</v>
      </c>
      <c r="N729" t="s">
        <v>104</v>
      </c>
      <c r="O729" t="s">
        <v>28</v>
      </c>
      <c r="P729" s="2">
        <v>376</v>
      </c>
      <c r="Q729" t="s">
        <v>29</v>
      </c>
      <c r="R729" t="s">
        <v>30</v>
      </c>
      <c r="S729" t="s">
        <v>69</v>
      </c>
      <c r="T729" t="s">
        <v>59</v>
      </c>
    </row>
    <row r="730" spans="1:20" x14ac:dyDescent="0.25">
      <c r="A730" s="2">
        <v>729</v>
      </c>
      <c r="B730" s="2">
        <v>27255</v>
      </c>
      <c r="C730" t="s">
        <v>51</v>
      </c>
      <c r="D730" t="s">
        <v>66</v>
      </c>
      <c r="E730" t="s">
        <v>99</v>
      </c>
      <c r="F730" t="s">
        <v>100</v>
      </c>
      <c r="G730" t="s">
        <v>36</v>
      </c>
      <c r="H730" t="s">
        <v>71</v>
      </c>
      <c r="I730" t="s">
        <v>67</v>
      </c>
      <c r="J730" t="s">
        <v>25</v>
      </c>
      <c r="K730" s="6">
        <f t="shared" si="23"/>
        <v>2.2000000000000002</v>
      </c>
      <c r="L730" t="s">
        <v>64</v>
      </c>
      <c r="M730">
        <f t="shared" si="22"/>
        <v>7</v>
      </c>
      <c r="N730" t="s">
        <v>40</v>
      </c>
      <c r="O730" t="s">
        <v>103</v>
      </c>
      <c r="P730" s="2">
        <v>154</v>
      </c>
      <c r="Q730" t="s">
        <v>104</v>
      </c>
      <c r="R730" t="s">
        <v>75</v>
      </c>
      <c r="S730" t="s">
        <v>50</v>
      </c>
      <c r="T730" t="s">
        <v>32</v>
      </c>
    </row>
    <row r="731" spans="1:20" x14ac:dyDescent="0.25">
      <c r="A731" s="2">
        <v>730</v>
      </c>
      <c r="B731" s="2">
        <v>25255</v>
      </c>
      <c r="C731" t="s">
        <v>60</v>
      </c>
      <c r="D731" t="s">
        <v>52</v>
      </c>
      <c r="E731" t="s">
        <v>76</v>
      </c>
      <c r="F731" t="s">
        <v>77</v>
      </c>
      <c r="G731" t="s">
        <v>70</v>
      </c>
      <c r="H731" t="s">
        <v>23</v>
      </c>
      <c r="I731" t="s">
        <v>94</v>
      </c>
      <c r="J731" t="s">
        <v>48</v>
      </c>
      <c r="K731" s="6">
        <f t="shared" si="23"/>
        <v>0.375</v>
      </c>
      <c r="L731" t="s">
        <v>26</v>
      </c>
      <c r="M731">
        <f t="shared" si="22"/>
        <v>1</v>
      </c>
      <c r="N731" t="s">
        <v>104</v>
      </c>
      <c r="O731" t="s">
        <v>28</v>
      </c>
      <c r="P731" s="2">
        <v>753</v>
      </c>
      <c r="Q731" t="s">
        <v>29</v>
      </c>
      <c r="R731" t="s">
        <v>68</v>
      </c>
      <c r="S731" t="s">
        <v>50</v>
      </c>
      <c r="T731" t="s">
        <v>43</v>
      </c>
    </row>
    <row r="732" spans="1:20" x14ac:dyDescent="0.25">
      <c r="A732" s="2">
        <v>731</v>
      </c>
      <c r="B732" s="2">
        <v>48846</v>
      </c>
      <c r="C732" t="s">
        <v>96</v>
      </c>
      <c r="D732" t="s">
        <v>52</v>
      </c>
      <c r="E732" t="s">
        <v>34</v>
      </c>
      <c r="F732" t="s">
        <v>35</v>
      </c>
      <c r="G732" t="s">
        <v>22</v>
      </c>
      <c r="H732" t="s">
        <v>46</v>
      </c>
      <c r="I732" t="s">
        <v>38</v>
      </c>
      <c r="J732" t="s">
        <v>57</v>
      </c>
      <c r="K732" s="6">
        <f t="shared" si="23"/>
        <v>0.5</v>
      </c>
      <c r="L732" t="s">
        <v>64</v>
      </c>
      <c r="M732">
        <f t="shared" si="22"/>
        <v>7</v>
      </c>
      <c r="N732" t="s">
        <v>40</v>
      </c>
      <c r="O732" t="s">
        <v>103</v>
      </c>
      <c r="P732" s="2">
        <v>365</v>
      </c>
      <c r="Q732" t="s">
        <v>104</v>
      </c>
      <c r="R732" t="s">
        <v>68</v>
      </c>
      <c r="S732" t="s">
        <v>69</v>
      </c>
      <c r="T732" t="s">
        <v>43</v>
      </c>
    </row>
    <row r="733" spans="1:20" x14ac:dyDescent="0.25">
      <c r="A733" s="2">
        <v>732</v>
      </c>
      <c r="B733" s="2">
        <v>95054</v>
      </c>
      <c r="C733" t="s">
        <v>96</v>
      </c>
      <c r="D733" t="s">
        <v>66</v>
      </c>
      <c r="E733" t="s">
        <v>99</v>
      </c>
      <c r="F733" t="s">
        <v>100</v>
      </c>
      <c r="G733" t="s">
        <v>63</v>
      </c>
      <c r="H733" t="s">
        <v>73</v>
      </c>
      <c r="I733" t="s">
        <v>67</v>
      </c>
      <c r="J733" t="s">
        <v>57</v>
      </c>
      <c r="K733" s="6">
        <f t="shared" si="23"/>
        <v>2.2000000000000002</v>
      </c>
      <c r="L733" t="s">
        <v>64</v>
      </c>
      <c r="M733">
        <f t="shared" si="22"/>
        <v>7</v>
      </c>
      <c r="N733" t="s">
        <v>27</v>
      </c>
      <c r="O733" t="s">
        <v>103</v>
      </c>
      <c r="P733" s="2">
        <v>1449</v>
      </c>
      <c r="Q733" t="s">
        <v>104</v>
      </c>
      <c r="R733" t="s">
        <v>75</v>
      </c>
      <c r="S733" t="s">
        <v>31</v>
      </c>
      <c r="T733" t="s">
        <v>32</v>
      </c>
    </row>
    <row r="734" spans="1:20" x14ac:dyDescent="0.25">
      <c r="A734" s="2">
        <v>733</v>
      </c>
      <c r="B734" s="2">
        <v>34253</v>
      </c>
      <c r="C734" t="s">
        <v>96</v>
      </c>
      <c r="D734" t="s">
        <v>52</v>
      </c>
      <c r="E734" t="s">
        <v>79</v>
      </c>
      <c r="F734" t="s">
        <v>80</v>
      </c>
      <c r="G734" t="s">
        <v>22</v>
      </c>
      <c r="H734" t="s">
        <v>37</v>
      </c>
      <c r="I734" t="s">
        <v>47</v>
      </c>
      <c r="J734" t="s">
        <v>57</v>
      </c>
      <c r="K734" s="6">
        <f t="shared" si="23"/>
        <v>0.625</v>
      </c>
      <c r="L734" t="s">
        <v>64</v>
      </c>
      <c r="M734">
        <f t="shared" si="22"/>
        <v>7</v>
      </c>
      <c r="N734" t="s">
        <v>27</v>
      </c>
      <c r="O734" t="s">
        <v>103</v>
      </c>
      <c r="P734" s="2">
        <v>2180</v>
      </c>
      <c r="Q734" t="s">
        <v>41</v>
      </c>
      <c r="R734" t="s">
        <v>68</v>
      </c>
      <c r="S734" t="s">
        <v>50</v>
      </c>
      <c r="T734" t="s">
        <v>43</v>
      </c>
    </row>
    <row r="735" spans="1:20" x14ac:dyDescent="0.25">
      <c r="A735" s="2">
        <v>734</v>
      </c>
      <c r="B735" s="2">
        <v>87930</v>
      </c>
      <c r="C735" t="s">
        <v>60</v>
      </c>
      <c r="D735" t="s">
        <v>52</v>
      </c>
      <c r="E735" t="s">
        <v>93</v>
      </c>
      <c r="F735" t="s">
        <v>62</v>
      </c>
      <c r="G735" t="s">
        <v>78</v>
      </c>
      <c r="H735" t="s">
        <v>71</v>
      </c>
      <c r="I735" t="s">
        <v>56</v>
      </c>
      <c r="J735" t="s">
        <v>57</v>
      </c>
      <c r="K735" s="6">
        <f t="shared" si="23"/>
        <v>2.2000000000000002</v>
      </c>
      <c r="L735" t="s">
        <v>64</v>
      </c>
      <c r="M735">
        <f t="shared" si="22"/>
        <v>7</v>
      </c>
      <c r="N735" t="s">
        <v>40</v>
      </c>
      <c r="O735" t="s">
        <v>28</v>
      </c>
      <c r="P735" s="2">
        <v>232</v>
      </c>
      <c r="Q735" t="s">
        <v>104</v>
      </c>
      <c r="R735" t="s">
        <v>75</v>
      </c>
      <c r="S735" t="s">
        <v>58</v>
      </c>
      <c r="T735" t="s">
        <v>43</v>
      </c>
    </row>
    <row r="736" spans="1:20" x14ac:dyDescent="0.25">
      <c r="A736" s="2">
        <v>735</v>
      </c>
      <c r="B736" s="2">
        <v>89600</v>
      </c>
      <c r="C736" t="s">
        <v>19</v>
      </c>
      <c r="D736" t="s">
        <v>66</v>
      </c>
      <c r="E736" t="s">
        <v>76</v>
      </c>
      <c r="F736" t="s">
        <v>77</v>
      </c>
      <c r="G736" t="s">
        <v>22</v>
      </c>
      <c r="H736" t="s">
        <v>46</v>
      </c>
      <c r="I736" t="s">
        <v>24</v>
      </c>
      <c r="J736" t="s">
        <v>48</v>
      </c>
      <c r="K736" s="6">
        <f t="shared" si="23"/>
        <v>2.4</v>
      </c>
      <c r="L736" t="s">
        <v>26</v>
      </c>
      <c r="M736">
        <f t="shared" si="22"/>
        <v>1</v>
      </c>
      <c r="N736" t="s">
        <v>27</v>
      </c>
      <c r="O736" t="s">
        <v>72</v>
      </c>
      <c r="P736" s="2">
        <v>316</v>
      </c>
      <c r="Q736" t="s">
        <v>74</v>
      </c>
      <c r="R736" t="s">
        <v>30</v>
      </c>
      <c r="S736" t="s">
        <v>50</v>
      </c>
      <c r="T736" t="s">
        <v>43</v>
      </c>
    </row>
    <row r="737" spans="1:20" x14ac:dyDescent="0.25">
      <c r="A737" s="2">
        <v>736</v>
      </c>
      <c r="B737" s="2">
        <v>63246</v>
      </c>
      <c r="C737" t="s">
        <v>33</v>
      </c>
      <c r="D737" t="s">
        <v>52</v>
      </c>
      <c r="E737" t="s">
        <v>87</v>
      </c>
      <c r="F737" t="s">
        <v>88</v>
      </c>
      <c r="G737" t="s">
        <v>98</v>
      </c>
      <c r="H737" t="s">
        <v>23</v>
      </c>
      <c r="I737" t="s">
        <v>56</v>
      </c>
      <c r="J737" t="s">
        <v>57</v>
      </c>
      <c r="K737" s="6">
        <f t="shared" si="23"/>
        <v>1.1000000000000001</v>
      </c>
      <c r="L737" t="s">
        <v>26</v>
      </c>
      <c r="M737">
        <f t="shared" si="22"/>
        <v>1</v>
      </c>
      <c r="N737" t="s">
        <v>40</v>
      </c>
      <c r="O737" t="s">
        <v>103</v>
      </c>
      <c r="P737" s="2">
        <v>888</v>
      </c>
      <c r="Q737" t="s">
        <v>29</v>
      </c>
      <c r="R737" t="s">
        <v>42</v>
      </c>
      <c r="S737" t="s">
        <v>69</v>
      </c>
      <c r="T737" t="s">
        <v>59</v>
      </c>
    </row>
    <row r="738" spans="1:20" x14ac:dyDescent="0.25">
      <c r="A738" s="2">
        <v>737</v>
      </c>
      <c r="B738" s="2">
        <v>23601</v>
      </c>
      <c r="C738" t="s">
        <v>96</v>
      </c>
      <c r="D738" t="s">
        <v>52</v>
      </c>
      <c r="E738" t="s">
        <v>76</v>
      </c>
      <c r="F738" t="s">
        <v>77</v>
      </c>
      <c r="G738" t="s">
        <v>63</v>
      </c>
      <c r="H738" t="s">
        <v>73</v>
      </c>
      <c r="I738" t="s">
        <v>56</v>
      </c>
      <c r="J738" t="s">
        <v>86</v>
      </c>
      <c r="K738" s="6">
        <f t="shared" si="23"/>
        <v>0.55000000000000004</v>
      </c>
      <c r="L738" t="s">
        <v>49</v>
      </c>
      <c r="M738">
        <f t="shared" si="22"/>
        <v>3</v>
      </c>
      <c r="N738" t="s">
        <v>27</v>
      </c>
      <c r="O738" t="s">
        <v>103</v>
      </c>
      <c r="P738" s="2">
        <v>1051</v>
      </c>
      <c r="Q738" t="s">
        <v>74</v>
      </c>
      <c r="R738" t="s">
        <v>68</v>
      </c>
      <c r="S738" t="s">
        <v>58</v>
      </c>
      <c r="T738" t="s">
        <v>43</v>
      </c>
    </row>
    <row r="739" spans="1:20" x14ac:dyDescent="0.25">
      <c r="A739" s="2">
        <v>738</v>
      </c>
      <c r="B739" s="2">
        <v>17084</v>
      </c>
      <c r="C739" t="s">
        <v>51</v>
      </c>
      <c r="D739" t="s">
        <v>66</v>
      </c>
      <c r="E739" t="s">
        <v>87</v>
      </c>
      <c r="F739" t="s">
        <v>88</v>
      </c>
      <c r="G739" t="s">
        <v>22</v>
      </c>
      <c r="H739" t="s">
        <v>46</v>
      </c>
      <c r="I739" t="s">
        <v>24</v>
      </c>
      <c r="J739" t="s">
        <v>25</v>
      </c>
      <c r="K739" s="6">
        <f t="shared" si="23"/>
        <v>2.4</v>
      </c>
      <c r="L739" t="s">
        <v>49</v>
      </c>
      <c r="M739">
        <f t="shared" si="22"/>
        <v>3</v>
      </c>
      <c r="N739" t="s">
        <v>104</v>
      </c>
      <c r="O739" t="s">
        <v>103</v>
      </c>
      <c r="P739" s="2">
        <v>404</v>
      </c>
      <c r="Q739" t="s">
        <v>104</v>
      </c>
      <c r="R739" t="s">
        <v>75</v>
      </c>
      <c r="S739" t="s">
        <v>50</v>
      </c>
      <c r="T739" t="s">
        <v>59</v>
      </c>
    </row>
    <row r="740" spans="1:20" x14ac:dyDescent="0.25">
      <c r="A740" s="2">
        <v>739</v>
      </c>
      <c r="B740" s="2">
        <v>44511</v>
      </c>
      <c r="C740" t="s">
        <v>60</v>
      </c>
      <c r="D740" t="s">
        <v>66</v>
      </c>
      <c r="E740" t="s">
        <v>53</v>
      </c>
      <c r="F740" t="s">
        <v>54</v>
      </c>
      <c r="G740" t="s">
        <v>63</v>
      </c>
      <c r="H740" t="s">
        <v>23</v>
      </c>
      <c r="I740" t="s">
        <v>47</v>
      </c>
      <c r="J740" t="s">
        <v>57</v>
      </c>
      <c r="K740" s="6">
        <f t="shared" si="23"/>
        <v>0.625</v>
      </c>
      <c r="L740" t="s">
        <v>64</v>
      </c>
      <c r="M740">
        <f t="shared" si="22"/>
        <v>7</v>
      </c>
      <c r="N740" t="s">
        <v>104</v>
      </c>
      <c r="O740" t="s">
        <v>28</v>
      </c>
      <c r="P740" s="2">
        <v>898</v>
      </c>
      <c r="Q740" t="s">
        <v>41</v>
      </c>
      <c r="R740" t="s">
        <v>68</v>
      </c>
      <c r="S740" t="s">
        <v>58</v>
      </c>
      <c r="T740" t="s">
        <v>59</v>
      </c>
    </row>
    <row r="741" spans="1:20" x14ac:dyDescent="0.25">
      <c r="A741" s="2">
        <v>740</v>
      </c>
      <c r="B741" s="2">
        <v>46195</v>
      </c>
      <c r="C741" t="s">
        <v>96</v>
      </c>
      <c r="D741" t="s">
        <v>66</v>
      </c>
      <c r="E741" t="s">
        <v>87</v>
      </c>
      <c r="F741" t="s">
        <v>88</v>
      </c>
      <c r="G741" t="s">
        <v>22</v>
      </c>
      <c r="H741" t="s">
        <v>23</v>
      </c>
      <c r="I741" t="s">
        <v>24</v>
      </c>
      <c r="J741" t="s">
        <v>25</v>
      </c>
      <c r="K741" s="6">
        <f t="shared" si="23"/>
        <v>0.6</v>
      </c>
      <c r="L741" t="s">
        <v>64</v>
      </c>
      <c r="M741">
        <f t="shared" si="22"/>
        <v>7</v>
      </c>
      <c r="N741" t="s">
        <v>27</v>
      </c>
      <c r="O741" t="s">
        <v>72</v>
      </c>
      <c r="P741" s="2">
        <v>764</v>
      </c>
      <c r="Q741" t="s">
        <v>41</v>
      </c>
      <c r="R741" t="s">
        <v>68</v>
      </c>
      <c r="S741" t="s">
        <v>31</v>
      </c>
      <c r="T741" t="s">
        <v>59</v>
      </c>
    </row>
    <row r="742" spans="1:20" x14ac:dyDescent="0.25">
      <c r="A742" s="2">
        <v>741</v>
      </c>
      <c r="B742" s="2">
        <v>75640</v>
      </c>
      <c r="C742" t="s">
        <v>60</v>
      </c>
      <c r="D742" t="s">
        <v>66</v>
      </c>
      <c r="E742" t="s">
        <v>89</v>
      </c>
      <c r="F742" t="s">
        <v>90</v>
      </c>
      <c r="G742" t="s">
        <v>45</v>
      </c>
      <c r="H742" t="s">
        <v>23</v>
      </c>
      <c r="I742" t="s">
        <v>24</v>
      </c>
      <c r="J742" t="s">
        <v>57</v>
      </c>
      <c r="K742" s="6">
        <f t="shared" si="23"/>
        <v>2.4</v>
      </c>
      <c r="L742" t="s">
        <v>64</v>
      </c>
      <c r="M742">
        <f t="shared" si="22"/>
        <v>7</v>
      </c>
      <c r="N742" t="s">
        <v>40</v>
      </c>
      <c r="O742" t="s">
        <v>28</v>
      </c>
      <c r="P742" s="2">
        <v>414</v>
      </c>
      <c r="Q742" t="s">
        <v>41</v>
      </c>
      <c r="R742" t="s">
        <v>75</v>
      </c>
      <c r="S742" t="s">
        <v>69</v>
      </c>
      <c r="T742" t="s">
        <v>59</v>
      </c>
    </row>
    <row r="743" spans="1:20" x14ac:dyDescent="0.25">
      <c r="A743" s="2">
        <v>742</v>
      </c>
      <c r="B743" s="2">
        <v>36772</v>
      </c>
      <c r="C743" t="s">
        <v>19</v>
      </c>
      <c r="D743" t="s">
        <v>66</v>
      </c>
      <c r="E743" t="s">
        <v>87</v>
      </c>
      <c r="F743" t="s">
        <v>88</v>
      </c>
      <c r="G743" t="s">
        <v>22</v>
      </c>
      <c r="H743" t="s">
        <v>73</v>
      </c>
      <c r="I743" t="s">
        <v>67</v>
      </c>
      <c r="J743" t="s">
        <v>57</v>
      </c>
      <c r="K743" s="6">
        <f t="shared" si="23"/>
        <v>1.1000000000000001</v>
      </c>
      <c r="L743" t="s">
        <v>64</v>
      </c>
      <c r="M743">
        <f t="shared" si="22"/>
        <v>7</v>
      </c>
      <c r="N743" t="s">
        <v>27</v>
      </c>
      <c r="O743" t="s">
        <v>28</v>
      </c>
      <c r="P743" s="2">
        <v>1412</v>
      </c>
      <c r="Q743" t="s">
        <v>74</v>
      </c>
      <c r="R743" t="s">
        <v>42</v>
      </c>
      <c r="S743" t="s">
        <v>58</v>
      </c>
      <c r="T743" t="s">
        <v>59</v>
      </c>
    </row>
    <row r="744" spans="1:20" x14ac:dyDescent="0.25">
      <c r="A744" s="2">
        <v>743</v>
      </c>
      <c r="B744" s="2">
        <v>23741</v>
      </c>
      <c r="C744" t="s">
        <v>33</v>
      </c>
      <c r="D744" t="s">
        <v>66</v>
      </c>
      <c r="E744" t="s">
        <v>76</v>
      </c>
      <c r="F744" t="s">
        <v>77</v>
      </c>
      <c r="G744" t="s">
        <v>81</v>
      </c>
      <c r="H744" t="s">
        <v>46</v>
      </c>
      <c r="I744" t="s">
        <v>47</v>
      </c>
      <c r="J744" t="s">
        <v>48</v>
      </c>
      <c r="K744" s="6">
        <f t="shared" si="23"/>
        <v>1.25</v>
      </c>
      <c r="L744" t="s">
        <v>64</v>
      </c>
      <c r="M744">
        <f t="shared" si="22"/>
        <v>7</v>
      </c>
      <c r="N744" t="s">
        <v>27</v>
      </c>
      <c r="O744" t="s">
        <v>103</v>
      </c>
      <c r="P744" s="2">
        <v>367</v>
      </c>
      <c r="Q744" t="s">
        <v>41</v>
      </c>
      <c r="R744" t="s">
        <v>42</v>
      </c>
      <c r="S744" t="s">
        <v>58</v>
      </c>
      <c r="T744" t="s">
        <v>43</v>
      </c>
    </row>
    <row r="745" spans="1:20" x14ac:dyDescent="0.25">
      <c r="A745" s="2">
        <v>744</v>
      </c>
      <c r="B745" s="2">
        <v>94323</v>
      </c>
      <c r="C745" t="s">
        <v>33</v>
      </c>
      <c r="D745" t="s">
        <v>52</v>
      </c>
      <c r="E745" t="s">
        <v>76</v>
      </c>
      <c r="F745" t="s">
        <v>77</v>
      </c>
      <c r="G745" t="s">
        <v>22</v>
      </c>
      <c r="H745" t="s">
        <v>73</v>
      </c>
      <c r="I745" t="s">
        <v>47</v>
      </c>
      <c r="J745" t="s">
        <v>48</v>
      </c>
      <c r="K745" s="6">
        <f t="shared" si="23"/>
        <v>0.625</v>
      </c>
      <c r="L745" t="s">
        <v>64</v>
      </c>
      <c r="M745">
        <f t="shared" si="22"/>
        <v>7</v>
      </c>
      <c r="N745" t="s">
        <v>40</v>
      </c>
      <c r="O745" t="s">
        <v>28</v>
      </c>
      <c r="P745" s="2">
        <v>1074</v>
      </c>
      <c r="Q745" t="s">
        <v>29</v>
      </c>
      <c r="R745" t="s">
        <v>68</v>
      </c>
      <c r="S745" t="s">
        <v>31</v>
      </c>
      <c r="T745" t="s">
        <v>43</v>
      </c>
    </row>
    <row r="746" spans="1:20" x14ac:dyDescent="0.25">
      <c r="A746" s="2">
        <v>745</v>
      </c>
      <c r="B746" s="2">
        <v>33710</v>
      </c>
      <c r="C746" t="s">
        <v>33</v>
      </c>
      <c r="D746" t="s">
        <v>52</v>
      </c>
      <c r="E746" t="s">
        <v>87</v>
      </c>
      <c r="F746" t="s">
        <v>88</v>
      </c>
      <c r="G746" t="s">
        <v>63</v>
      </c>
      <c r="H746" t="s">
        <v>73</v>
      </c>
      <c r="I746" t="s">
        <v>47</v>
      </c>
      <c r="J746" t="s">
        <v>39</v>
      </c>
      <c r="K746" s="6">
        <f t="shared" si="23"/>
        <v>2.5</v>
      </c>
      <c r="L746" t="s">
        <v>64</v>
      </c>
      <c r="M746">
        <f t="shared" si="22"/>
        <v>7</v>
      </c>
      <c r="N746" t="s">
        <v>27</v>
      </c>
      <c r="O746" t="s">
        <v>28</v>
      </c>
      <c r="P746" s="2">
        <v>1053</v>
      </c>
      <c r="Q746" t="s">
        <v>104</v>
      </c>
      <c r="R746" t="s">
        <v>30</v>
      </c>
      <c r="S746" t="s">
        <v>50</v>
      </c>
      <c r="T746" t="s">
        <v>59</v>
      </c>
    </row>
    <row r="747" spans="1:20" x14ac:dyDescent="0.25">
      <c r="A747" s="2">
        <v>746</v>
      </c>
      <c r="B747" s="2">
        <v>64486</v>
      </c>
      <c r="C747" t="s">
        <v>33</v>
      </c>
      <c r="D747" t="s">
        <v>52</v>
      </c>
      <c r="E747" t="s">
        <v>20</v>
      </c>
      <c r="F747" t="s">
        <v>21</v>
      </c>
      <c r="G747" t="s">
        <v>98</v>
      </c>
      <c r="H747" t="s">
        <v>71</v>
      </c>
      <c r="I747" t="s">
        <v>47</v>
      </c>
      <c r="J747" t="s">
        <v>48</v>
      </c>
      <c r="K747" s="6">
        <f t="shared" si="23"/>
        <v>1.25</v>
      </c>
      <c r="L747" t="s">
        <v>64</v>
      </c>
      <c r="M747">
        <f t="shared" si="22"/>
        <v>7</v>
      </c>
      <c r="N747" t="s">
        <v>104</v>
      </c>
      <c r="O747" t="s">
        <v>28</v>
      </c>
      <c r="P747" s="2">
        <v>261</v>
      </c>
      <c r="Q747" t="s">
        <v>41</v>
      </c>
      <c r="R747" t="s">
        <v>42</v>
      </c>
      <c r="S747" t="s">
        <v>69</v>
      </c>
      <c r="T747" t="s">
        <v>32</v>
      </c>
    </row>
    <row r="748" spans="1:20" x14ac:dyDescent="0.25">
      <c r="A748" s="2">
        <v>747</v>
      </c>
      <c r="B748" s="2">
        <v>71748</v>
      </c>
      <c r="C748" t="s">
        <v>19</v>
      </c>
      <c r="D748" t="s">
        <v>52</v>
      </c>
      <c r="E748" t="s">
        <v>99</v>
      </c>
      <c r="F748" t="s">
        <v>100</v>
      </c>
      <c r="G748" t="s">
        <v>55</v>
      </c>
      <c r="H748" t="s">
        <v>71</v>
      </c>
      <c r="I748" t="s">
        <v>91</v>
      </c>
      <c r="J748" t="s">
        <v>57</v>
      </c>
      <c r="K748" s="6">
        <f t="shared" si="23"/>
        <v>0.55000000000000004</v>
      </c>
      <c r="L748" t="s">
        <v>49</v>
      </c>
      <c r="M748">
        <f t="shared" si="22"/>
        <v>3</v>
      </c>
      <c r="N748" t="s">
        <v>40</v>
      </c>
      <c r="O748" t="s">
        <v>65</v>
      </c>
      <c r="P748" s="2">
        <v>316</v>
      </c>
      <c r="Q748" t="s">
        <v>74</v>
      </c>
      <c r="R748" t="s">
        <v>68</v>
      </c>
      <c r="S748" t="s">
        <v>69</v>
      </c>
      <c r="T748" t="s">
        <v>32</v>
      </c>
    </row>
    <row r="749" spans="1:20" x14ac:dyDescent="0.25">
      <c r="A749" s="2">
        <v>748</v>
      </c>
      <c r="B749" s="2">
        <v>54288</v>
      </c>
      <c r="C749" t="s">
        <v>60</v>
      </c>
      <c r="D749" t="s">
        <v>52</v>
      </c>
      <c r="E749" t="s">
        <v>79</v>
      </c>
      <c r="F749" t="s">
        <v>80</v>
      </c>
      <c r="G749" t="s">
        <v>98</v>
      </c>
      <c r="H749" t="s">
        <v>71</v>
      </c>
      <c r="I749" t="s">
        <v>47</v>
      </c>
      <c r="J749" t="s">
        <v>57</v>
      </c>
      <c r="K749" s="6">
        <f t="shared" si="23"/>
        <v>1.25</v>
      </c>
      <c r="L749" t="s">
        <v>64</v>
      </c>
      <c r="M749">
        <f t="shared" si="22"/>
        <v>7</v>
      </c>
      <c r="N749" t="s">
        <v>104</v>
      </c>
      <c r="O749" t="s">
        <v>28</v>
      </c>
      <c r="P749" s="2">
        <v>314</v>
      </c>
      <c r="Q749" t="s">
        <v>41</v>
      </c>
      <c r="R749" t="s">
        <v>42</v>
      </c>
      <c r="S749" t="s">
        <v>31</v>
      </c>
      <c r="T749" t="s">
        <v>43</v>
      </c>
    </row>
    <row r="750" spans="1:20" x14ac:dyDescent="0.25">
      <c r="A750" s="2">
        <v>749</v>
      </c>
      <c r="B750" s="2">
        <v>20439</v>
      </c>
      <c r="C750" t="s">
        <v>51</v>
      </c>
      <c r="D750" t="s">
        <v>66</v>
      </c>
      <c r="E750" t="s">
        <v>79</v>
      </c>
      <c r="F750" t="s">
        <v>80</v>
      </c>
      <c r="G750" t="s">
        <v>63</v>
      </c>
      <c r="H750" t="s">
        <v>23</v>
      </c>
      <c r="I750" t="s">
        <v>24</v>
      </c>
      <c r="J750" t="s">
        <v>57</v>
      </c>
      <c r="K750" s="6">
        <f t="shared" si="23"/>
        <v>1.2</v>
      </c>
      <c r="L750" t="s">
        <v>26</v>
      </c>
      <c r="M750">
        <f t="shared" si="22"/>
        <v>1</v>
      </c>
      <c r="N750" t="s">
        <v>40</v>
      </c>
      <c r="O750" t="s">
        <v>103</v>
      </c>
      <c r="P750" s="2">
        <v>512</v>
      </c>
      <c r="Q750" t="s">
        <v>104</v>
      </c>
      <c r="R750" t="s">
        <v>42</v>
      </c>
      <c r="S750" t="s">
        <v>31</v>
      </c>
      <c r="T750" t="s">
        <v>43</v>
      </c>
    </row>
    <row r="751" spans="1:20" x14ac:dyDescent="0.25">
      <c r="A751" s="2">
        <v>750</v>
      </c>
      <c r="B751" s="2">
        <v>10428</v>
      </c>
      <c r="C751" t="s">
        <v>51</v>
      </c>
      <c r="D751" t="s">
        <v>52</v>
      </c>
      <c r="E751" t="s">
        <v>97</v>
      </c>
      <c r="F751" t="s">
        <v>62</v>
      </c>
      <c r="G751" t="s">
        <v>98</v>
      </c>
      <c r="H751" t="s">
        <v>73</v>
      </c>
      <c r="I751" t="s">
        <v>47</v>
      </c>
      <c r="J751" t="s">
        <v>57</v>
      </c>
      <c r="K751" s="6">
        <f t="shared" si="23"/>
        <v>2.5</v>
      </c>
      <c r="L751" t="s">
        <v>64</v>
      </c>
      <c r="M751">
        <f t="shared" si="22"/>
        <v>7</v>
      </c>
      <c r="N751" t="s">
        <v>27</v>
      </c>
      <c r="O751" t="s">
        <v>28</v>
      </c>
      <c r="P751" s="2">
        <v>1320</v>
      </c>
      <c r="Q751" t="s">
        <v>29</v>
      </c>
      <c r="R751" t="s">
        <v>75</v>
      </c>
      <c r="S751" t="s">
        <v>69</v>
      </c>
      <c r="T751" t="s">
        <v>59</v>
      </c>
    </row>
    <row r="752" spans="1:20" x14ac:dyDescent="0.25">
      <c r="A752" s="2">
        <v>751</v>
      </c>
      <c r="B752" s="2">
        <v>98851</v>
      </c>
      <c r="C752" t="s">
        <v>51</v>
      </c>
      <c r="D752" t="s">
        <v>52</v>
      </c>
      <c r="E752" t="s">
        <v>84</v>
      </c>
      <c r="F752" t="s">
        <v>85</v>
      </c>
      <c r="G752" t="s">
        <v>81</v>
      </c>
      <c r="H752" t="s">
        <v>23</v>
      </c>
      <c r="I752" t="s">
        <v>47</v>
      </c>
      <c r="J752" t="s">
        <v>86</v>
      </c>
      <c r="K752" s="6">
        <f t="shared" si="23"/>
        <v>2.5</v>
      </c>
      <c r="L752" t="s">
        <v>64</v>
      </c>
      <c r="M752">
        <f t="shared" si="22"/>
        <v>7</v>
      </c>
      <c r="N752" t="s">
        <v>104</v>
      </c>
      <c r="O752" t="s">
        <v>103</v>
      </c>
      <c r="P752" s="2">
        <v>823</v>
      </c>
      <c r="Q752" t="s">
        <v>104</v>
      </c>
      <c r="R752" t="s">
        <v>30</v>
      </c>
      <c r="S752" t="s">
        <v>58</v>
      </c>
      <c r="T752" t="s">
        <v>32</v>
      </c>
    </row>
    <row r="753" spans="1:20" x14ac:dyDescent="0.25">
      <c r="A753" s="2">
        <v>752</v>
      </c>
      <c r="B753" s="2">
        <v>73683</v>
      </c>
      <c r="C753" t="s">
        <v>19</v>
      </c>
      <c r="D753" t="s">
        <v>52</v>
      </c>
      <c r="E753" t="s">
        <v>95</v>
      </c>
      <c r="F753" t="s">
        <v>21</v>
      </c>
      <c r="G753" t="s">
        <v>63</v>
      </c>
      <c r="H753" t="s">
        <v>23</v>
      </c>
      <c r="I753" t="s">
        <v>24</v>
      </c>
      <c r="J753" t="s">
        <v>25</v>
      </c>
      <c r="K753" s="6">
        <f t="shared" si="23"/>
        <v>0.6</v>
      </c>
      <c r="L753" t="s">
        <v>64</v>
      </c>
      <c r="M753">
        <f t="shared" si="22"/>
        <v>7</v>
      </c>
      <c r="N753" t="s">
        <v>104</v>
      </c>
      <c r="O753" t="s">
        <v>72</v>
      </c>
      <c r="P753" s="2">
        <v>427</v>
      </c>
      <c r="Q753" t="s">
        <v>41</v>
      </c>
      <c r="R753" t="s">
        <v>68</v>
      </c>
      <c r="S753" t="s">
        <v>69</v>
      </c>
      <c r="T753" t="s">
        <v>43</v>
      </c>
    </row>
    <row r="754" spans="1:20" x14ac:dyDescent="0.25">
      <c r="A754" s="2">
        <v>753</v>
      </c>
      <c r="B754" s="2">
        <v>86301</v>
      </c>
      <c r="C754" t="s">
        <v>51</v>
      </c>
      <c r="D754" t="s">
        <v>52</v>
      </c>
      <c r="E754" t="s">
        <v>20</v>
      </c>
      <c r="F754" t="s">
        <v>21</v>
      </c>
      <c r="G754" t="s">
        <v>45</v>
      </c>
      <c r="H754" t="s">
        <v>23</v>
      </c>
      <c r="I754" t="s">
        <v>47</v>
      </c>
      <c r="J754" t="s">
        <v>48</v>
      </c>
      <c r="K754" s="6">
        <f t="shared" si="23"/>
        <v>2.5</v>
      </c>
      <c r="L754" t="s">
        <v>64</v>
      </c>
      <c r="M754">
        <f t="shared" si="22"/>
        <v>7</v>
      </c>
      <c r="N754" t="s">
        <v>27</v>
      </c>
      <c r="O754" t="s">
        <v>103</v>
      </c>
      <c r="P754" s="2">
        <v>539</v>
      </c>
      <c r="Q754" t="s">
        <v>41</v>
      </c>
      <c r="R754" t="s">
        <v>75</v>
      </c>
      <c r="S754" t="s">
        <v>58</v>
      </c>
      <c r="T754" t="s">
        <v>32</v>
      </c>
    </row>
    <row r="755" spans="1:20" x14ac:dyDescent="0.25">
      <c r="A755" s="2">
        <v>754</v>
      </c>
      <c r="B755" s="2">
        <v>51211</v>
      </c>
      <c r="C755" t="s">
        <v>33</v>
      </c>
      <c r="D755" t="s">
        <v>52</v>
      </c>
      <c r="E755" t="s">
        <v>95</v>
      </c>
      <c r="F755" t="s">
        <v>21</v>
      </c>
      <c r="G755" t="s">
        <v>81</v>
      </c>
      <c r="H755" t="s">
        <v>23</v>
      </c>
      <c r="I755" t="s">
        <v>38</v>
      </c>
      <c r="J755" t="s">
        <v>57</v>
      </c>
      <c r="K755" s="6">
        <f t="shared" si="23"/>
        <v>1</v>
      </c>
      <c r="L755" t="s">
        <v>64</v>
      </c>
      <c r="M755">
        <f t="shared" si="22"/>
        <v>7</v>
      </c>
      <c r="N755" t="s">
        <v>27</v>
      </c>
      <c r="O755" t="s">
        <v>103</v>
      </c>
      <c r="P755" s="2">
        <v>746</v>
      </c>
      <c r="Q755" t="s">
        <v>41</v>
      </c>
      <c r="R755" t="s">
        <v>42</v>
      </c>
      <c r="S755" t="s">
        <v>50</v>
      </c>
      <c r="T755" t="s">
        <v>43</v>
      </c>
    </row>
    <row r="756" spans="1:20" x14ac:dyDescent="0.25">
      <c r="A756" s="2">
        <v>755</v>
      </c>
      <c r="B756" s="2">
        <v>61226</v>
      </c>
      <c r="C756" t="s">
        <v>51</v>
      </c>
      <c r="D756" t="s">
        <v>52</v>
      </c>
      <c r="E756" t="s">
        <v>93</v>
      </c>
      <c r="F756" t="s">
        <v>62</v>
      </c>
      <c r="G756" t="s">
        <v>45</v>
      </c>
      <c r="H756" t="s">
        <v>37</v>
      </c>
      <c r="I756" t="s">
        <v>94</v>
      </c>
      <c r="J756" t="s">
        <v>48</v>
      </c>
      <c r="K756" s="6">
        <f t="shared" si="23"/>
        <v>1.5</v>
      </c>
      <c r="L756" t="s">
        <v>64</v>
      </c>
      <c r="M756">
        <f t="shared" si="22"/>
        <v>7</v>
      </c>
      <c r="N756" t="s">
        <v>27</v>
      </c>
      <c r="O756" t="s">
        <v>28</v>
      </c>
      <c r="P756" s="2">
        <v>1398</v>
      </c>
      <c r="Q756" t="s">
        <v>74</v>
      </c>
      <c r="R756" t="s">
        <v>75</v>
      </c>
      <c r="S756" t="s">
        <v>58</v>
      </c>
      <c r="T756" t="s">
        <v>43</v>
      </c>
    </row>
    <row r="757" spans="1:20" x14ac:dyDescent="0.25">
      <c r="A757" s="2">
        <v>756</v>
      </c>
      <c r="B757" s="2">
        <v>97573</v>
      </c>
      <c r="C757" t="s">
        <v>51</v>
      </c>
      <c r="D757" t="s">
        <v>66</v>
      </c>
      <c r="E757" t="s">
        <v>95</v>
      </c>
      <c r="F757" t="s">
        <v>21</v>
      </c>
      <c r="G757" t="s">
        <v>22</v>
      </c>
      <c r="H757" t="s">
        <v>73</v>
      </c>
      <c r="I757" t="s">
        <v>56</v>
      </c>
      <c r="J757" t="s">
        <v>57</v>
      </c>
      <c r="K757" s="6">
        <f t="shared" si="23"/>
        <v>2.2000000000000002</v>
      </c>
      <c r="L757" t="s">
        <v>26</v>
      </c>
      <c r="M757">
        <f t="shared" si="22"/>
        <v>1</v>
      </c>
      <c r="N757" t="s">
        <v>27</v>
      </c>
      <c r="O757" t="s">
        <v>103</v>
      </c>
      <c r="P757" s="2">
        <v>1185</v>
      </c>
      <c r="Q757" t="s">
        <v>104</v>
      </c>
      <c r="R757" t="s">
        <v>75</v>
      </c>
      <c r="S757" t="s">
        <v>31</v>
      </c>
      <c r="T757" t="s">
        <v>43</v>
      </c>
    </row>
    <row r="758" spans="1:20" x14ac:dyDescent="0.25">
      <c r="A758" s="2">
        <v>757</v>
      </c>
      <c r="B758" s="2">
        <v>92705</v>
      </c>
      <c r="C758" t="s">
        <v>33</v>
      </c>
      <c r="D758" t="s">
        <v>66</v>
      </c>
      <c r="E758" t="s">
        <v>76</v>
      </c>
      <c r="F758" t="s">
        <v>77</v>
      </c>
      <c r="G758" t="s">
        <v>98</v>
      </c>
      <c r="H758" t="s">
        <v>23</v>
      </c>
      <c r="I758" t="s">
        <v>83</v>
      </c>
      <c r="J758" t="s">
        <v>57</v>
      </c>
      <c r="K758" s="6">
        <f t="shared" si="23"/>
        <v>2.2000000000000002</v>
      </c>
      <c r="L758" t="s">
        <v>26</v>
      </c>
      <c r="M758">
        <f t="shared" si="22"/>
        <v>1</v>
      </c>
      <c r="N758" t="s">
        <v>27</v>
      </c>
      <c r="O758" t="s">
        <v>72</v>
      </c>
      <c r="P758" s="2">
        <v>826</v>
      </c>
      <c r="Q758" t="s">
        <v>41</v>
      </c>
      <c r="R758" t="s">
        <v>30</v>
      </c>
      <c r="S758" t="s">
        <v>50</v>
      </c>
      <c r="T758" t="s">
        <v>43</v>
      </c>
    </row>
    <row r="759" spans="1:20" x14ac:dyDescent="0.25">
      <c r="A759" s="2">
        <v>758</v>
      </c>
      <c r="B759" s="2">
        <v>61188</v>
      </c>
      <c r="C759" t="s">
        <v>96</v>
      </c>
      <c r="D759" t="s">
        <v>66</v>
      </c>
      <c r="E759" t="s">
        <v>76</v>
      </c>
      <c r="F759" t="s">
        <v>77</v>
      </c>
      <c r="G759" t="s">
        <v>63</v>
      </c>
      <c r="H759" t="s">
        <v>23</v>
      </c>
      <c r="I759" t="s">
        <v>56</v>
      </c>
      <c r="J759" t="s">
        <v>86</v>
      </c>
      <c r="K759" s="6">
        <f t="shared" si="23"/>
        <v>2.2000000000000002</v>
      </c>
      <c r="L759" t="s">
        <v>64</v>
      </c>
      <c r="M759">
        <f t="shared" si="22"/>
        <v>7</v>
      </c>
      <c r="N759" t="s">
        <v>40</v>
      </c>
      <c r="O759" t="s">
        <v>103</v>
      </c>
      <c r="P759" s="2">
        <v>572</v>
      </c>
      <c r="Q759" t="s">
        <v>104</v>
      </c>
      <c r="R759" t="s">
        <v>75</v>
      </c>
      <c r="S759" t="s">
        <v>50</v>
      </c>
      <c r="T759" t="s">
        <v>43</v>
      </c>
    </row>
    <row r="760" spans="1:20" x14ac:dyDescent="0.25">
      <c r="A760" s="2">
        <v>759</v>
      </c>
      <c r="B760" s="2">
        <v>75225</v>
      </c>
      <c r="C760" t="s">
        <v>51</v>
      </c>
      <c r="D760" t="s">
        <v>66</v>
      </c>
      <c r="E760" t="s">
        <v>53</v>
      </c>
      <c r="F760" t="s">
        <v>54</v>
      </c>
      <c r="G760" t="s">
        <v>22</v>
      </c>
      <c r="H760" t="s">
        <v>71</v>
      </c>
      <c r="I760" t="s">
        <v>91</v>
      </c>
      <c r="J760" t="s">
        <v>86</v>
      </c>
      <c r="K760" s="6">
        <f t="shared" si="23"/>
        <v>0.55000000000000004</v>
      </c>
      <c r="L760" t="s">
        <v>26</v>
      </c>
      <c r="M760">
        <f t="shared" si="22"/>
        <v>1</v>
      </c>
      <c r="N760" t="s">
        <v>27</v>
      </c>
      <c r="O760" t="s">
        <v>102</v>
      </c>
      <c r="P760" s="2">
        <v>335</v>
      </c>
      <c r="Q760" t="s">
        <v>41</v>
      </c>
      <c r="R760" t="s">
        <v>68</v>
      </c>
      <c r="S760" t="s">
        <v>58</v>
      </c>
      <c r="T760" t="s">
        <v>59</v>
      </c>
    </row>
    <row r="761" spans="1:20" x14ac:dyDescent="0.25">
      <c r="A761" s="2">
        <v>760</v>
      </c>
      <c r="B761" s="2">
        <v>15860</v>
      </c>
      <c r="C761" t="s">
        <v>51</v>
      </c>
      <c r="D761" t="s">
        <v>52</v>
      </c>
      <c r="E761" t="s">
        <v>44</v>
      </c>
      <c r="F761" t="s">
        <v>44</v>
      </c>
      <c r="G761" t="s">
        <v>70</v>
      </c>
      <c r="H761" t="s">
        <v>46</v>
      </c>
      <c r="I761" t="s">
        <v>91</v>
      </c>
      <c r="J761" t="s">
        <v>39</v>
      </c>
      <c r="K761" s="6">
        <f t="shared" si="23"/>
        <v>2.2000000000000002</v>
      </c>
      <c r="L761" t="s">
        <v>64</v>
      </c>
      <c r="M761">
        <f t="shared" si="22"/>
        <v>7</v>
      </c>
      <c r="N761" t="s">
        <v>40</v>
      </c>
      <c r="O761" t="s">
        <v>65</v>
      </c>
      <c r="P761" s="2">
        <v>265</v>
      </c>
      <c r="Q761" t="s">
        <v>104</v>
      </c>
      <c r="R761" t="s">
        <v>30</v>
      </c>
      <c r="S761" t="s">
        <v>58</v>
      </c>
      <c r="T761" t="s">
        <v>43</v>
      </c>
    </row>
    <row r="762" spans="1:20" x14ac:dyDescent="0.25">
      <c r="A762" s="2">
        <v>761</v>
      </c>
      <c r="B762" s="2">
        <v>87503</v>
      </c>
      <c r="C762" t="s">
        <v>51</v>
      </c>
      <c r="D762" t="s">
        <v>52</v>
      </c>
      <c r="E762" t="s">
        <v>53</v>
      </c>
      <c r="F762" t="s">
        <v>54</v>
      </c>
      <c r="G762" t="s">
        <v>92</v>
      </c>
      <c r="H762" t="s">
        <v>71</v>
      </c>
      <c r="I762" t="s">
        <v>38</v>
      </c>
      <c r="J762" t="s">
        <v>25</v>
      </c>
      <c r="K762" s="6">
        <f t="shared" si="23"/>
        <v>2</v>
      </c>
      <c r="L762" t="s">
        <v>64</v>
      </c>
      <c r="M762">
        <f t="shared" si="22"/>
        <v>7</v>
      </c>
      <c r="N762" t="s">
        <v>104</v>
      </c>
      <c r="O762" t="s">
        <v>103</v>
      </c>
      <c r="P762" s="2">
        <v>248</v>
      </c>
      <c r="Q762" t="s">
        <v>29</v>
      </c>
      <c r="R762" t="s">
        <v>75</v>
      </c>
      <c r="S762" t="s">
        <v>31</v>
      </c>
      <c r="T762" t="s">
        <v>59</v>
      </c>
    </row>
    <row r="763" spans="1:20" x14ac:dyDescent="0.25">
      <c r="A763" s="2">
        <v>762</v>
      </c>
      <c r="B763" s="2">
        <v>54721</v>
      </c>
      <c r="C763" t="s">
        <v>51</v>
      </c>
      <c r="D763" t="s">
        <v>52</v>
      </c>
      <c r="E763" t="s">
        <v>84</v>
      </c>
      <c r="F763" t="s">
        <v>85</v>
      </c>
      <c r="G763" t="s">
        <v>22</v>
      </c>
      <c r="H763" t="s">
        <v>71</v>
      </c>
      <c r="I763" t="s">
        <v>38</v>
      </c>
      <c r="J763" t="s">
        <v>86</v>
      </c>
      <c r="K763" s="6">
        <f t="shared" si="23"/>
        <v>2</v>
      </c>
      <c r="L763" t="s">
        <v>64</v>
      </c>
      <c r="M763">
        <f t="shared" si="22"/>
        <v>7</v>
      </c>
      <c r="N763" t="s">
        <v>27</v>
      </c>
      <c r="O763" t="s">
        <v>102</v>
      </c>
      <c r="P763" s="2">
        <v>239</v>
      </c>
      <c r="Q763" t="s">
        <v>104</v>
      </c>
      <c r="R763" t="s">
        <v>75</v>
      </c>
      <c r="S763" t="s">
        <v>50</v>
      </c>
      <c r="T763" t="s">
        <v>32</v>
      </c>
    </row>
    <row r="764" spans="1:20" x14ac:dyDescent="0.25">
      <c r="A764" s="2">
        <v>763</v>
      </c>
      <c r="B764" s="2">
        <v>53338</v>
      </c>
      <c r="C764" t="s">
        <v>19</v>
      </c>
      <c r="D764" t="s">
        <v>52</v>
      </c>
      <c r="E764" t="s">
        <v>53</v>
      </c>
      <c r="F764" t="s">
        <v>54</v>
      </c>
      <c r="G764" t="s">
        <v>36</v>
      </c>
      <c r="H764" t="s">
        <v>73</v>
      </c>
      <c r="I764" t="s">
        <v>67</v>
      </c>
      <c r="J764" t="s">
        <v>57</v>
      </c>
      <c r="K764" s="6">
        <f t="shared" si="23"/>
        <v>0.55000000000000004</v>
      </c>
      <c r="L764" t="s">
        <v>64</v>
      </c>
      <c r="M764">
        <f t="shared" si="22"/>
        <v>7</v>
      </c>
      <c r="N764" t="s">
        <v>27</v>
      </c>
      <c r="O764" t="s">
        <v>28</v>
      </c>
      <c r="P764" s="2">
        <v>1116</v>
      </c>
      <c r="Q764" t="s">
        <v>104</v>
      </c>
      <c r="R764" t="s">
        <v>68</v>
      </c>
      <c r="S764" t="s">
        <v>31</v>
      </c>
      <c r="T764" t="s">
        <v>59</v>
      </c>
    </row>
    <row r="765" spans="1:20" x14ac:dyDescent="0.25">
      <c r="A765" s="2">
        <v>764</v>
      </c>
      <c r="B765" s="2">
        <v>21293</v>
      </c>
      <c r="C765" t="s">
        <v>19</v>
      </c>
      <c r="D765" t="s">
        <v>52</v>
      </c>
      <c r="E765" t="s">
        <v>61</v>
      </c>
      <c r="F765" t="s">
        <v>62</v>
      </c>
      <c r="G765" t="s">
        <v>22</v>
      </c>
      <c r="H765" t="s">
        <v>23</v>
      </c>
      <c r="I765" t="s">
        <v>47</v>
      </c>
      <c r="J765" t="s">
        <v>57</v>
      </c>
      <c r="K765" s="6">
        <f t="shared" si="23"/>
        <v>1.25</v>
      </c>
      <c r="L765" t="s">
        <v>64</v>
      </c>
      <c r="M765">
        <f t="shared" si="22"/>
        <v>7</v>
      </c>
      <c r="N765" t="s">
        <v>40</v>
      </c>
      <c r="O765" t="s">
        <v>103</v>
      </c>
      <c r="P765" s="2">
        <v>402</v>
      </c>
      <c r="Q765" t="s">
        <v>41</v>
      </c>
      <c r="R765" t="s">
        <v>42</v>
      </c>
      <c r="S765" t="s">
        <v>31</v>
      </c>
      <c r="T765" t="s">
        <v>59</v>
      </c>
    </row>
    <row r="766" spans="1:20" x14ac:dyDescent="0.25">
      <c r="A766" s="2">
        <v>765</v>
      </c>
      <c r="B766" s="2">
        <v>23864</v>
      </c>
      <c r="C766" t="s">
        <v>51</v>
      </c>
      <c r="D766" t="s">
        <v>66</v>
      </c>
      <c r="E766" t="s">
        <v>97</v>
      </c>
      <c r="F766" t="s">
        <v>62</v>
      </c>
      <c r="G766" t="s">
        <v>45</v>
      </c>
      <c r="H766" t="s">
        <v>23</v>
      </c>
      <c r="I766" t="s">
        <v>38</v>
      </c>
      <c r="J766" t="s">
        <v>48</v>
      </c>
      <c r="K766" s="6">
        <f t="shared" si="23"/>
        <v>2</v>
      </c>
      <c r="L766" t="s">
        <v>64</v>
      </c>
      <c r="M766">
        <f t="shared" si="22"/>
        <v>7</v>
      </c>
      <c r="N766" t="s">
        <v>40</v>
      </c>
      <c r="O766" t="s">
        <v>28</v>
      </c>
      <c r="P766" s="2">
        <v>750</v>
      </c>
      <c r="Q766" t="s">
        <v>29</v>
      </c>
      <c r="R766" t="s">
        <v>30</v>
      </c>
      <c r="S766" t="s">
        <v>58</v>
      </c>
      <c r="T766" t="s">
        <v>59</v>
      </c>
    </row>
    <row r="767" spans="1:20" x14ac:dyDescent="0.25">
      <c r="A767" s="2">
        <v>766</v>
      </c>
      <c r="B767" s="2">
        <v>73984</v>
      </c>
      <c r="C767" t="s">
        <v>19</v>
      </c>
      <c r="D767" t="s">
        <v>52</v>
      </c>
      <c r="E767" t="s">
        <v>87</v>
      </c>
      <c r="F767" t="s">
        <v>88</v>
      </c>
      <c r="G767" t="s">
        <v>22</v>
      </c>
      <c r="H767" t="s">
        <v>37</v>
      </c>
      <c r="I767" t="s">
        <v>24</v>
      </c>
      <c r="J767" t="s">
        <v>25</v>
      </c>
      <c r="K767" s="6">
        <f t="shared" si="23"/>
        <v>2.4</v>
      </c>
      <c r="L767" t="s">
        <v>49</v>
      </c>
      <c r="M767">
        <f t="shared" si="22"/>
        <v>3</v>
      </c>
      <c r="N767" t="s">
        <v>40</v>
      </c>
      <c r="O767" t="s">
        <v>72</v>
      </c>
      <c r="P767" s="2">
        <v>2155</v>
      </c>
      <c r="Q767" t="s">
        <v>41</v>
      </c>
      <c r="R767" t="s">
        <v>75</v>
      </c>
      <c r="S767" t="s">
        <v>58</v>
      </c>
      <c r="T767" t="s">
        <v>59</v>
      </c>
    </row>
    <row r="768" spans="1:20" x14ac:dyDescent="0.25">
      <c r="A768" s="2">
        <v>767</v>
      </c>
      <c r="B768" s="2">
        <v>19984</v>
      </c>
      <c r="C768" t="s">
        <v>60</v>
      </c>
      <c r="D768" t="s">
        <v>52</v>
      </c>
      <c r="E768" t="s">
        <v>89</v>
      </c>
      <c r="F768" t="s">
        <v>90</v>
      </c>
      <c r="G768" t="s">
        <v>81</v>
      </c>
      <c r="H768" t="s">
        <v>23</v>
      </c>
      <c r="I768" t="s">
        <v>83</v>
      </c>
      <c r="J768" t="s">
        <v>57</v>
      </c>
      <c r="K768" s="6">
        <f t="shared" si="23"/>
        <v>2.2000000000000002</v>
      </c>
      <c r="L768" t="s">
        <v>64</v>
      </c>
      <c r="M768">
        <f t="shared" si="22"/>
        <v>7</v>
      </c>
      <c r="N768" t="s">
        <v>27</v>
      </c>
      <c r="O768" t="s">
        <v>103</v>
      </c>
      <c r="P768" s="2">
        <v>530</v>
      </c>
      <c r="Q768" t="s">
        <v>41</v>
      </c>
      <c r="R768" t="s">
        <v>75</v>
      </c>
      <c r="S768" t="s">
        <v>69</v>
      </c>
      <c r="T768" t="s">
        <v>59</v>
      </c>
    </row>
    <row r="769" spans="1:20" x14ac:dyDescent="0.25">
      <c r="A769" s="2">
        <v>768</v>
      </c>
      <c r="B769" s="2">
        <v>15685</v>
      </c>
      <c r="C769" t="s">
        <v>60</v>
      </c>
      <c r="D769" t="s">
        <v>52</v>
      </c>
      <c r="E769" t="s">
        <v>87</v>
      </c>
      <c r="F769" t="s">
        <v>88</v>
      </c>
      <c r="G769" t="s">
        <v>92</v>
      </c>
      <c r="H769" t="s">
        <v>73</v>
      </c>
      <c r="I769" t="s">
        <v>24</v>
      </c>
      <c r="J769" t="s">
        <v>25</v>
      </c>
      <c r="K769" s="6">
        <f t="shared" si="23"/>
        <v>1.2</v>
      </c>
      <c r="L769" t="s">
        <v>64</v>
      </c>
      <c r="M769">
        <f t="shared" si="22"/>
        <v>7</v>
      </c>
      <c r="N769" t="s">
        <v>40</v>
      </c>
      <c r="O769" t="s">
        <v>65</v>
      </c>
      <c r="P769" s="2">
        <v>884</v>
      </c>
      <c r="Q769" t="s">
        <v>104</v>
      </c>
      <c r="R769" t="s">
        <v>42</v>
      </c>
      <c r="S769" t="s">
        <v>31</v>
      </c>
      <c r="T769" t="s">
        <v>59</v>
      </c>
    </row>
    <row r="770" spans="1:20" x14ac:dyDescent="0.25">
      <c r="A770" s="2">
        <v>769</v>
      </c>
      <c r="B770" s="2">
        <v>10290</v>
      </c>
      <c r="C770" t="s">
        <v>33</v>
      </c>
      <c r="D770" t="s">
        <v>52</v>
      </c>
      <c r="E770" t="s">
        <v>20</v>
      </c>
      <c r="F770" t="s">
        <v>21</v>
      </c>
      <c r="G770" t="s">
        <v>63</v>
      </c>
      <c r="H770" t="s">
        <v>46</v>
      </c>
      <c r="I770" t="s">
        <v>47</v>
      </c>
      <c r="J770" t="s">
        <v>48</v>
      </c>
      <c r="K770" s="6">
        <f t="shared" si="23"/>
        <v>0.625</v>
      </c>
      <c r="L770" t="s">
        <v>64</v>
      </c>
      <c r="M770">
        <f t="shared" ref="M770:M833" si="24">IF(L770="daily",7,IF(L770="weekly",3,1))</f>
        <v>7</v>
      </c>
      <c r="N770" t="s">
        <v>104</v>
      </c>
      <c r="O770" t="s">
        <v>103</v>
      </c>
      <c r="P770" s="2">
        <v>541</v>
      </c>
      <c r="Q770" t="s">
        <v>41</v>
      </c>
      <c r="R770" t="s">
        <v>68</v>
      </c>
      <c r="S770" t="s">
        <v>58</v>
      </c>
      <c r="T770" t="s">
        <v>32</v>
      </c>
    </row>
    <row r="771" spans="1:20" x14ac:dyDescent="0.25">
      <c r="A771" s="2">
        <v>770</v>
      </c>
      <c r="B771" s="2">
        <v>91883</v>
      </c>
      <c r="C771" t="s">
        <v>19</v>
      </c>
      <c r="D771" t="s">
        <v>52</v>
      </c>
      <c r="E771" t="s">
        <v>34</v>
      </c>
      <c r="F771" t="s">
        <v>35</v>
      </c>
      <c r="G771" t="s">
        <v>36</v>
      </c>
      <c r="H771" t="s">
        <v>71</v>
      </c>
      <c r="I771" t="s">
        <v>38</v>
      </c>
      <c r="J771" t="s">
        <v>39</v>
      </c>
      <c r="K771" s="6">
        <f t="shared" ref="K771:K834" si="25">IF(R771="Morning",2,IF(R771="Night",2,IF(R771="Evening",1,0.5)))
*
IF(I771="Espresso",0.75,IF(I771="Cold Brew",1.25,IF(I771="Filter Coffee",1.2,IF(I771="Instant Coffee",1,1.1))))</f>
        <v>0.5</v>
      </c>
      <c r="L771" t="s">
        <v>64</v>
      </c>
      <c r="M771">
        <f t="shared" si="24"/>
        <v>7</v>
      </c>
      <c r="N771" t="s">
        <v>104</v>
      </c>
      <c r="O771" t="s">
        <v>103</v>
      </c>
      <c r="P771" s="2">
        <v>216</v>
      </c>
      <c r="Q771" t="s">
        <v>104</v>
      </c>
      <c r="R771" t="s">
        <v>68</v>
      </c>
      <c r="S771" t="s">
        <v>50</v>
      </c>
      <c r="T771" t="s">
        <v>43</v>
      </c>
    </row>
    <row r="772" spans="1:20" x14ac:dyDescent="0.25">
      <c r="A772" s="2">
        <v>771</v>
      </c>
      <c r="B772" s="2">
        <v>89213</v>
      </c>
      <c r="C772" t="s">
        <v>33</v>
      </c>
      <c r="D772" t="s">
        <v>52</v>
      </c>
      <c r="E772" t="s">
        <v>89</v>
      </c>
      <c r="F772" t="s">
        <v>90</v>
      </c>
      <c r="G772" t="s">
        <v>98</v>
      </c>
      <c r="H772" t="s">
        <v>46</v>
      </c>
      <c r="I772" t="s">
        <v>91</v>
      </c>
      <c r="J772" t="s">
        <v>48</v>
      </c>
      <c r="K772" s="6">
        <f t="shared" si="25"/>
        <v>0.55000000000000004</v>
      </c>
      <c r="L772" t="s">
        <v>64</v>
      </c>
      <c r="M772">
        <f t="shared" si="24"/>
        <v>7</v>
      </c>
      <c r="N772" t="s">
        <v>27</v>
      </c>
      <c r="O772" t="s">
        <v>102</v>
      </c>
      <c r="P772" s="2">
        <v>264</v>
      </c>
      <c r="Q772" t="s">
        <v>74</v>
      </c>
      <c r="R772" t="s">
        <v>68</v>
      </c>
      <c r="S772" t="s">
        <v>58</v>
      </c>
      <c r="T772" t="s">
        <v>59</v>
      </c>
    </row>
    <row r="773" spans="1:20" x14ac:dyDescent="0.25">
      <c r="A773" s="2">
        <v>772</v>
      </c>
      <c r="B773" s="2">
        <v>65417</v>
      </c>
      <c r="C773" t="s">
        <v>51</v>
      </c>
      <c r="D773" t="s">
        <v>66</v>
      </c>
      <c r="E773" t="s">
        <v>97</v>
      </c>
      <c r="F773" t="s">
        <v>62</v>
      </c>
      <c r="G773" t="s">
        <v>70</v>
      </c>
      <c r="H773" t="s">
        <v>46</v>
      </c>
      <c r="I773" t="s">
        <v>38</v>
      </c>
      <c r="J773" t="s">
        <v>57</v>
      </c>
      <c r="K773" s="6">
        <f t="shared" si="25"/>
        <v>2</v>
      </c>
      <c r="L773" t="s">
        <v>64</v>
      </c>
      <c r="M773">
        <f t="shared" si="24"/>
        <v>7</v>
      </c>
      <c r="N773" t="s">
        <v>27</v>
      </c>
      <c r="O773" t="s">
        <v>72</v>
      </c>
      <c r="P773" s="2">
        <v>439</v>
      </c>
      <c r="Q773" t="s">
        <v>74</v>
      </c>
      <c r="R773" t="s">
        <v>75</v>
      </c>
      <c r="S773" t="s">
        <v>31</v>
      </c>
      <c r="T773" t="s">
        <v>59</v>
      </c>
    </row>
    <row r="774" spans="1:20" x14ac:dyDescent="0.25">
      <c r="A774" s="2">
        <v>773</v>
      </c>
      <c r="B774" s="2">
        <v>53573</v>
      </c>
      <c r="C774" t="s">
        <v>19</v>
      </c>
      <c r="D774" t="s">
        <v>66</v>
      </c>
      <c r="E774" t="s">
        <v>95</v>
      </c>
      <c r="F774" t="s">
        <v>21</v>
      </c>
      <c r="G774" t="s">
        <v>98</v>
      </c>
      <c r="H774" t="s">
        <v>71</v>
      </c>
      <c r="I774" t="s">
        <v>83</v>
      </c>
      <c r="J774" t="s">
        <v>25</v>
      </c>
      <c r="K774" s="6">
        <f t="shared" si="25"/>
        <v>2.2000000000000002</v>
      </c>
      <c r="L774" t="s">
        <v>64</v>
      </c>
      <c r="M774">
        <f t="shared" si="24"/>
        <v>7</v>
      </c>
      <c r="N774" t="s">
        <v>40</v>
      </c>
      <c r="O774" t="s">
        <v>65</v>
      </c>
      <c r="P774" s="2">
        <v>382</v>
      </c>
      <c r="Q774" t="s">
        <v>41</v>
      </c>
      <c r="R774" t="s">
        <v>75</v>
      </c>
      <c r="S774" t="s">
        <v>50</v>
      </c>
      <c r="T774" t="s">
        <v>43</v>
      </c>
    </row>
    <row r="775" spans="1:20" x14ac:dyDescent="0.25">
      <c r="A775" s="2">
        <v>774</v>
      </c>
      <c r="B775" s="2">
        <v>66004</v>
      </c>
      <c r="C775" t="s">
        <v>51</v>
      </c>
      <c r="D775" t="s">
        <v>52</v>
      </c>
      <c r="E775" t="s">
        <v>53</v>
      </c>
      <c r="F775" t="s">
        <v>54</v>
      </c>
      <c r="G775" t="s">
        <v>92</v>
      </c>
      <c r="H775" t="s">
        <v>71</v>
      </c>
      <c r="I775" t="s">
        <v>47</v>
      </c>
      <c r="J775" t="s">
        <v>57</v>
      </c>
      <c r="K775" s="6">
        <f t="shared" si="25"/>
        <v>2.5</v>
      </c>
      <c r="L775" t="s">
        <v>64</v>
      </c>
      <c r="M775">
        <f t="shared" si="24"/>
        <v>7</v>
      </c>
      <c r="N775" t="s">
        <v>27</v>
      </c>
      <c r="O775" t="s">
        <v>103</v>
      </c>
      <c r="P775" s="2">
        <v>292</v>
      </c>
      <c r="Q775" t="s">
        <v>104</v>
      </c>
      <c r="R775" t="s">
        <v>30</v>
      </c>
      <c r="S775" t="s">
        <v>58</v>
      </c>
      <c r="T775" t="s">
        <v>59</v>
      </c>
    </row>
    <row r="776" spans="1:20" x14ac:dyDescent="0.25">
      <c r="A776" s="2">
        <v>775</v>
      </c>
      <c r="B776" s="2">
        <v>60304</v>
      </c>
      <c r="C776" t="s">
        <v>33</v>
      </c>
      <c r="D776" t="s">
        <v>66</v>
      </c>
      <c r="E776" t="s">
        <v>101</v>
      </c>
      <c r="F776" t="s">
        <v>80</v>
      </c>
      <c r="G776" t="s">
        <v>55</v>
      </c>
      <c r="H776" t="s">
        <v>46</v>
      </c>
      <c r="I776" t="s">
        <v>47</v>
      </c>
      <c r="J776" t="s">
        <v>48</v>
      </c>
      <c r="K776" s="6">
        <f t="shared" si="25"/>
        <v>0.625</v>
      </c>
      <c r="L776" t="s">
        <v>49</v>
      </c>
      <c r="M776">
        <f t="shared" si="24"/>
        <v>3</v>
      </c>
      <c r="N776" t="s">
        <v>40</v>
      </c>
      <c r="O776" t="s">
        <v>102</v>
      </c>
      <c r="P776" s="2">
        <v>344</v>
      </c>
      <c r="Q776" t="s">
        <v>41</v>
      </c>
      <c r="R776" t="s">
        <v>68</v>
      </c>
      <c r="S776" t="s">
        <v>50</v>
      </c>
      <c r="T776" t="s">
        <v>32</v>
      </c>
    </row>
    <row r="777" spans="1:20" x14ac:dyDescent="0.25">
      <c r="A777" s="2">
        <v>776</v>
      </c>
      <c r="B777" s="2">
        <v>62327</v>
      </c>
      <c r="C777" t="s">
        <v>19</v>
      </c>
      <c r="D777" t="s">
        <v>66</v>
      </c>
      <c r="E777" t="s">
        <v>76</v>
      </c>
      <c r="F777" t="s">
        <v>77</v>
      </c>
      <c r="G777" t="s">
        <v>55</v>
      </c>
      <c r="H777" t="s">
        <v>46</v>
      </c>
      <c r="I777" t="s">
        <v>94</v>
      </c>
      <c r="J777" t="s">
        <v>25</v>
      </c>
      <c r="K777" s="6">
        <f t="shared" si="25"/>
        <v>0.75</v>
      </c>
      <c r="L777" t="s">
        <v>64</v>
      </c>
      <c r="M777">
        <f t="shared" si="24"/>
        <v>7</v>
      </c>
      <c r="N777" t="s">
        <v>104</v>
      </c>
      <c r="O777" t="s">
        <v>65</v>
      </c>
      <c r="P777" s="2">
        <v>294</v>
      </c>
      <c r="Q777" t="s">
        <v>29</v>
      </c>
      <c r="R777" t="s">
        <v>42</v>
      </c>
      <c r="S777" t="s">
        <v>50</v>
      </c>
      <c r="T777" t="s">
        <v>43</v>
      </c>
    </row>
    <row r="778" spans="1:20" x14ac:dyDescent="0.25">
      <c r="A778" s="2">
        <v>777</v>
      </c>
      <c r="B778" s="2">
        <v>47888</v>
      </c>
      <c r="C778" t="s">
        <v>33</v>
      </c>
      <c r="D778" t="s">
        <v>52</v>
      </c>
      <c r="E778" t="s">
        <v>44</v>
      </c>
      <c r="F778" t="s">
        <v>44</v>
      </c>
      <c r="G778" t="s">
        <v>36</v>
      </c>
      <c r="H778" t="s">
        <v>23</v>
      </c>
      <c r="I778" t="s">
        <v>47</v>
      </c>
      <c r="J778" t="s">
        <v>48</v>
      </c>
      <c r="K778" s="6">
        <f t="shared" si="25"/>
        <v>2.5</v>
      </c>
      <c r="L778" t="s">
        <v>64</v>
      </c>
      <c r="M778">
        <f t="shared" si="24"/>
        <v>7</v>
      </c>
      <c r="N778" t="s">
        <v>27</v>
      </c>
      <c r="O778" t="s">
        <v>103</v>
      </c>
      <c r="P778" s="2">
        <v>405</v>
      </c>
      <c r="Q778" t="s">
        <v>29</v>
      </c>
      <c r="R778" t="s">
        <v>30</v>
      </c>
      <c r="S778" t="s">
        <v>50</v>
      </c>
      <c r="T778" t="s">
        <v>43</v>
      </c>
    </row>
    <row r="779" spans="1:20" x14ac:dyDescent="0.25">
      <c r="A779" s="2">
        <v>778</v>
      </c>
      <c r="B779" s="2">
        <v>83388</v>
      </c>
      <c r="C779" t="s">
        <v>19</v>
      </c>
      <c r="D779" t="s">
        <v>66</v>
      </c>
      <c r="E779" t="s">
        <v>89</v>
      </c>
      <c r="F779" t="s">
        <v>90</v>
      </c>
      <c r="G779" t="s">
        <v>92</v>
      </c>
      <c r="H779" t="s">
        <v>23</v>
      </c>
      <c r="I779" t="s">
        <v>83</v>
      </c>
      <c r="J779" t="s">
        <v>25</v>
      </c>
      <c r="K779" s="6">
        <f t="shared" si="25"/>
        <v>2.2000000000000002</v>
      </c>
      <c r="L779" t="s">
        <v>64</v>
      </c>
      <c r="M779">
        <f t="shared" si="24"/>
        <v>7</v>
      </c>
      <c r="N779" t="s">
        <v>104</v>
      </c>
      <c r="O779" t="s">
        <v>103</v>
      </c>
      <c r="P779" s="2">
        <v>662</v>
      </c>
      <c r="Q779" t="s">
        <v>41</v>
      </c>
      <c r="R779" t="s">
        <v>30</v>
      </c>
      <c r="S779" t="s">
        <v>50</v>
      </c>
      <c r="T779" t="s">
        <v>59</v>
      </c>
    </row>
    <row r="780" spans="1:20" x14ac:dyDescent="0.25">
      <c r="A780" s="2">
        <v>779</v>
      </c>
      <c r="B780" s="2">
        <v>24782</v>
      </c>
      <c r="C780" t="s">
        <v>19</v>
      </c>
      <c r="D780" t="s">
        <v>66</v>
      </c>
      <c r="E780" t="s">
        <v>44</v>
      </c>
      <c r="F780" t="s">
        <v>44</v>
      </c>
      <c r="G780" t="s">
        <v>55</v>
      </c>
      <c r="H780" t="s">
        <v>46</v>
      </c>
      <c r="I780" t="s">
        <v>91</v>
      </c>
      <c r="J780" t="s">
        <v>25</v>
      </c>
      <c r="K780" s="6">
        <f t="shared" si="25"/>
        <v>2.2000000000000002</v>
      </c>
      <c r="L780" t="s">
        <v>49</v>
      </c>
      <c r="M780">
        <f t="shared" si="24"/>
        <v>3</v>
      </c>
      <c r="N780" t="s">
        <v>27</v>
      </c>
      <c r="O780" t="s">
        <v>72</v>
      </c>
      <c r="P780" s="2">
        <v>415</v>
      </c>
      <c r="Q780" t="s">
        <v>29</v>
      </c>
      <c r="R780" t="s">
        <v>30</v>
      </c>
      <c r="S780" t="s">
        <v>31</v>
      </c>
      <c r="T780" t="s">
        <v>43</v>
      </c>
    </row>
    <row r="781" spans="1:20" x14ac:dyDescent="0.25">
      <c r="A781" s="2">
        <v>780</v>
      </c>
      <c r="B781" s="2">
        <v>50955</v>
      </c>
      <c r="C781" t="s">
        <v>19</v>
      </c>
      <c r="D781" t="s">
        <v>66</v>
      </c>
      <c r="E781" t="s">
        <v>87</v>
      </c>
      <c r="F781" t="s">
        <v>88</v>
      </c>
      <c r="G781" t="s">
        <v>22</v>
      </c>
      <c r="H781" t="s">
        <v>23</v>
      </c>
      <c r="I781" t="s">
        <v>67</v>
      </c>
      <c r="J781" t="s">
        <v>57</v>
      </c>
      <c r="K781" s="6">
        <f t="shared" si="25"/>
        <v>0.55000000000000004</v>
      </c>
      <c r="L781" t="s">
        <v>49</v>
      </c>
      <c r="M781">
        <f t="shared" si="24"/>
        <v>3</v>
      </c>
      <c r="N781" t="s">
        <v>27</v>
      </c>
      <c r="O781" t="s">
        <v>28</v>
      </c>
      <c r="P781" s="2">
        <v>412</v>
      </c>
      <c r="Q781" t="s">
        <v>104</v>
      </c>
      <c r="R781" t="s">
        <v>68</v>
      </c>
      <c r="S781" t="s">
        <v>58</v>
      </c>
      <c r="T781" t="s">
        <v>59</v>
      </c>
    </row>
    <row r="782" spans="1:20" x14ac:dyDescent="0.25">
      <c r="A782" s="2">
        <v>781</v>
      </c>
      <c r="B782" s="2">
        <v>88864</v>
      </c>
      <c r="C782" t="s">
        <v>19</v>
      </c>
      <c r="D782" t="s">
        <v>66</v>
      </c>
      <c r="E782" t="s">
        <v>44</v>
      </c>
      <c r="F782" t="s">
        <v>44</v>
      </c>
      <c r="G782" t="s">
        <v>22</v>
      </c>
      <c r="H782" t="s">
        <v>71</v>
      </c>
      <c r="I782" t="s">
        <v>94</v>
      </c>
      <c r="J782" t="s">
        <v>57</v>
      </c>
      <c r="K782" s="6">
        <f t="shared" si="25"/>
        <v>0.75</v>
      </c>
      <c r="L782" t="s">
        <v>64</v>
      </c>
      <c r="M782">
        <f t="shared" si="24"/>
        <v>7</v>
      </c>
      <c r="N782" t="s">
        <v>27</v>
      </c>
      <c r="O782" t="s">
        <v>28</v>
      </c>
      <c r="P782" s="2">
        <v>337</v>
      </c>
      <c r="Q782" t="s">
        <v>104</v>
      </c>
      <c r="R782" t="s">
        <v>42</v>
      </c>
      <c r="S782" t="s">
        <v>58</v>
      </c>
      <c r="T782" t="s">
        <v>43</v>
      </c>
    </row>
    <row r="783" spans="1:20" x14ac:dyDescent="0.25">
      <c r="A783" s="2">
        <v>782</v>
      </c>
      <c r="B783" s="2">
        <v>17141</v>
      </c>
      <c r="C783" t="s">
        <v>96</v>
      </c>
      <c r="D783" t="s">
        <v>52</v>
      </c>
      <c r="E783" t="s">
        <v>89</v>
      </c>
      <c r="F783" t="s">
        <v>90</v>
      </c>
      <c r="G783" t="s">
        <v>78</v>
      </c>
      <c r="H783" t="s">
        <v>46</v>
      </c>
      <c r="I783" t="s">
        <v>56</v>
      </c>
      <c r="J783" t="s">
        <v>25</v>
      </c>
      <c r="K783" s="6">
        <f t="shared" si="25"/>
        <v>0.55000000000000004</v>
      </c>
      <c r="L783" t="s">
        <v>64</v>
      </c>
      <c r="M783">
        <f t="shared" si="24"/>
        <v>7</v>
      </c>
      <c r="N783" t="s">
        <v>27</v>
      </c>
      <c r="O783" t="s">
        <v>72</v>
      </c>
      <c r="P783" s="2">
        <v>261</v>
      </c>
      <c r="Q783" t="s">
        <v>104</v>
      </c>
      <c r="R783" t="s">
        <v>68</v>
      </c>
      <c r="S783" t="s">
        <v>69</v>
      </c>
      <c r="T783" t="s">
        <v>59</v>
      </c>
    </row>
    <row r="784" spans="1:20" x14ac:dyDescent="0.25">
      <c r="A784" s="2">
        <v>783</v>
      </c>
      <c r="B784" s="2">
        <v>78617</v>
      </c>
      <c r="C784" t="s">
        <v>51</v>
      </c>
      <c r="D784" t="s">
        <v>66</v>
      </c>
      <c r="E784" t="s">
        <v>44</v>
      </c>
      <c r="F784" t="s">
        <v>44</v>
      </c>
      <c r="G784" t="s">
        <v>36</v>
      </c>
      <c r="H784" t="s">
        <v>23</v>
      </c>
      <c r="I784" t="s">
        <v>38</v>
      </c>
      <c r="J784" t="s">
        <v>25</v>
      </c>
      <c r="K784" s="6">
        <f t="shared" si="25"/>
        <v>0.5</v>
      </c>
      <c r="L784" t="s">
        <v>49</v>
      </c>
      <c r="M784">
        <f t="shared" si="24"/>
        <v>3</v>
      </c>
      <c r="N784" t="s">
        <v>40</v>
      </c>
      <c r="O784" t="s">
        <v>28</v>
      </c>
      <c r="P784" s="2">
        <v>410</v>
      </c>
      <c r="Q784" t="s">
        <v>29</v>
      </c>
      <c r="R784" t="s">
        <v>68</v>
      </c>
      <c r="S784" t="s">
        <v>31</v>
      </c>
      <c r="T784" t="s">
        <v>43</v>
      </c>
    </row>
    <row r="785" spans="1:20" x14ac:dyDescent="0.25">
      <c r="A785" s="2">
        <v>784</v>
      </c>
      <c r="B785" s="2">
        <v>58431</v>
      </c>
      <c r="C785" t="s">
        <v>51</v>
      </c>
      <c r="D785" t="s">
        <v>52</v>
      </c>
      <c r="E785" t="s">
        <v>84</v>
      </c>
      <c r="F785" t="s">
        <v>85</v>
      </c>
      <c r="G785" t="s">
        <v>92</v>
      </c>
      <c r="H785" t="s">
        <v>71</v>
      </c>
      <c r="I785" t="s">
        <v>83</v>
      </c>
      <c r="J785" t="s">
        <v>39</v>
      </c>
      <c r="K785" s="6">
        <f t="shared" si="25"/>
        <v>1.1000000000000001</v>
      </c>
      <c r="L785" t="s">
        <v>26</v>
      </c>
      <c r="M785">
        <f t="shared" si="24"/>
        <v>1</v>
      </c>
      <c r="N785" t="s">
        <v>27</v>
      </c>
      <c r="O785" t="s">
        <v>103</v>
      </c>
      <c r="P785" s="2">
        <v>273</v>
      </c>
      <c r="Q785" t="s">
        <v>29</v>
      </c>
      <c r="R785" t="s">
        <v>42</v>
      </c>
      <c r="S785" t="s">
        <v>50</v>
      </c>
      <c r="T785" t="s">
        <v>32</v>
      </c>
    </row>
    <row r="786" spans="1:20" x14ac:dyDescent="0.25">
      <c r="A786" s="2">
        <v>785</v>
      </c>
      <c r="B786" s="2">
        <v>74275</v>
      </c>
      <c r="C786" t="s">
        <v>60</v>
      </c>
      <c r="D786" t="s">
        <v>66</v>
      </c>
      <c r="E786" t="s">
        <v>79</v>
      </c>
      <c r="F786" t="s">
        <v>80</v>
      </c>
      <c r="G786" t="s">
        <v>92</v>
      </c>
      <c r="H786" t="s">
        <v>23</v>
      </c>
      <c r="I786" t="s">
        <v>91</v>
      </c>
      <c r="J786" t="s">
        <v>25</v>
      </c>
      <c r="K786" s="6">
        <f t="shared" si="25"/>
        <v>1.1000000000000001</v>
      </c>
      <c r="L786" t="s">
        <v>26</v>
      </c>
      <c r="M786">
        <f t="shared" si="24"/>
        <v>1</v>
      </c>
      <c r="N786" t="s">
        <v>104</v>
      </c>
      <c r="O786" t="s">
        <v>103</v>
      </c>
      <c r="P786" s="2">
        <v>515</v>
      </c>
      <c r="Q786" t="s">
        <v>104</v>
      </c>
      <c r="R786" t="s">
        <v>42</v>
      </c>
      <c r="S786" t="s">
        <v>69</v>
      </c>
      <c r="T786" t="s">
        <v>43</v>
      </c>
    </row>
    <row r="787" spans="1:20" x14ac:dyDescent="0.25">
      <c r="A787" s="2">
        <v>786</v>
      </c>
      <c r="B787" s="2">
        <v>35217</v>
      </c>
      <c r="C787" t="s">
        <v>33</v>
      </c>
      <c r="D787" t="s">
        <v>52</v>
      </c>
      <c r="E787" t="s">
        <v>97</v>
      </c>
      <c r="F787" t="s">
        <v>62</v>
      </c>
      <c r="G787" t="s">
        <v>92</v>
      </c>
      <c r="H787" t="s">
        <v>23</v>
      </c>
      <c r="I787" t="s">
        <v>47</v>
      </c>
      <c r="J787" t="s">
        <v>48</v>
      </c>
      <c r="K787" s="6">
        <f t="shared" si="25"/>
        <v>0.625</v>
      </c>
      <c r="L787" t="s">
        <v>64</v>
      </c>
      <c r="M787">
        <f t="shared" si="24"/>
        <v>7</v>
      </c>
      <c r="N787" t="s">
        <v>40</v>
      </c>
      <c r="O787" t="s">
        <v>103</v>
      </c>
      <c r="P787" s="2">
        <v>674</v>
      </c>
      <c r="Q787" t="s">
        <v>104</v>
      </c>
      <c r="R787" t="s">
        <v>68</v>
      </c>
      <c r="S787" t="s">
        <v>69</v>
      </c>
      <c r="T787" t="s">
        <v>59</v>
      </c>
    </row>
    <row r="788" spans="1:20" x14ac:dyDescent="0.25">
      <c r="A788" s="2">
        <v>787</v>
      </c>
      <c r="B788" s="2">
        <v>47847</v>
      </c>
      <c r="C788" t="s">
        <v>19</v>
      </c>
      <c r="D788" t="s">
        <v>52</v>
      </c>
      <c r="E788" t="s">
        <v>61</v>
      </c>
      <c r="F788" t="s">
        <v>62</v>
      </c>
      <c r="G788" t="s">
        <v>22</v>
      </c>
      <c r="H788" t="s">
        <v>37</v>
      </c>
      <c r="I788" t="s">
        <v>91</v>
      </c>
      <c r="J788" t="s">
        <v>86</v>
      </c>
      <c r="K788" s="6">
        <f t="shared" si="25"/>
        <v>1.1000000000000001</v>
      </c>
      <c r="L788" t="s">
        <v>64</v>
      </c>
      <c r="M788">
        <f t="shared" si="24"/>
        <v>7</v>
      </c>
      <c r="N788" t="s">
        <v>27</v>
      </c>
      <c r="O788" t="s">
        <v>82</v>
      </c>
      <c r="P788" s="2">
        <v>2842</v>
      </c>
      <c r="Q788" t="s">
        <v>104</v>
      </c>
      <c r="R788" t="s">
        <v>42</v>
      </c>
      <c r="S788" t="s">
        <v>58</v>
      </c>
      <c r="T788" t="s">
        <v>59</v>
      </c>
    </row>
    <row r="789" spans="1:20" x14ac:dyDescent="0.25">
      <c r="A789" s="2">
        <v>788</v>
      </c>
      <c r="B789" s="2">
        <v>87714</v>
      </c>
      <c r="C789" t="s">
        <v>33</v>
      </c>
      <c r="D789" t="s">
        <v>52</v>
      </c>
      <c r="E789" t="s">
        <v>95</v>
      </c>
      <c r="F789" t="s">
        <v>21</v>
      </c>
      <c r="G789" t="s">
        <v>78</v>
      </c>
      <c r="H789" t="s">
        <v>71</v>
      </c>
      <c r="I789" t="s">
        <v>67</v>
      </c>
      <c r="J789" t="s">
        <v>57</v>
      </c>
      <c r="K789" s="6">
        <f t="shared" si="25"/>
        <v>2.2000000000000002</v>
      </c>
      <c r="L789" t="s">
        <v>26</v>
      </c>
      <c r="M789">
        <f t="shared" si="24"/>
        <v>1</v>
      </c>
      <c r="N789" t="s">
        <v>104</v>
      </c>
      <c r="O789" t="s">
        <v>102</v>
      </c>
      <c r="P789" s="2">
        <v>368</v>
      </c>
      <c r="Q789" t="s">
        <v>74</v>
      </c>
      <c r="R789" t="s">
        <v>75</v>
      </c>
      <c r="S789" t="s">
        <v>58</v>
      </c>
      <c r="T789" t="s">
        <v>43</v>
      </c>
    </row>
    <row r="790" spans="1:20" x14ac:dyDescent="0.25">
      <c r="A790" s="2">
        <v>789</v>
      </c>
      <c r="B790" s="2">
        <v>21968</v>
      </c>
      <c r="C790" t="s">
        <v>19</v>
      </c>
      <c r="D790" t="s">
        <v>52</v>
      </c>
      <c r="E790" t="s">
        <v>44</v>
      </c>
      <c r="F790" t="s">
        <v>44</v>
      </c>
      <c r="G790" t="s">
        <v>70</v>
      </c>
      <c r="H790" t="s">
        <v>46</v>
      </c>
      <c r="I790" t="s">
        <v>94</v>
      </c>
      <c r="J790" t="s">
        <v>57</v>
      </c>
      <c r="K790" s="6">
        <f t="shared" si="25"/>
        <v>1.5</v>
      </c>
      <c r="L790" t="s">
        <v>64</v>
      </c>
      <c r="M790">
        <f t="shared" si="24"/>
        <v>7</v>
      </c>
      <c r="N790" t="s">
        <v>104</v>
      </c>
      <c r="O790" t="s">
        <v>65</v>
      </c>
      <c r="P790" s="2">
        <v>569</v>
      </c>
      <c r="Q790" t="s">
        <v>41</v>
      </c>
      <c r="R790" t="s">
        <v>30</v>
      </c>
      <c r="S790" t="s">
        <v>50</v>
      </c>
      <c r="T790" t="s">
        <v>43</v>
      </c>
    </row>
    <row r="791" spans="1:20" x14ac:dyDescent="0.25">
      <c r="A791" s="2">
        <v>790</v>
      </c>
      <c r="B791" s="2">
        <v>71529</v>
      </c>
      <c r="C791" t="s">
        <v>33</v>
      </c>
      <c r="D791" t="s">
        <v>66</v>
      </c>
      <c r="E791" t="s">
        <v>61</v>
      </c>
      <c r="F791" t="s">
        <v>62</v>
      </c>
      <c r="G791" t="s">
        <v>45</v>
      </c>
      <c r="H791" t="s">
        <v>71</v>
      </c>
      <c r="I791" t="s">
        <v>94</v>
      </c>
      <c r="J791" t="s">
        <v>57</v>
      </c>
      <c r="K791" s="6">
        <f t="shared" si="25"/>
        <v>1.5</v>
      </c>
      <c r="L791" t="s">
        <v>64</v>
      </c>
      <c r="M791">
        <f t="shared" si="24"/>
        <v>7</v>
      </c>
      <c r="N791" t="s">
        <v>40</v>
      </c>
      <c r="O791" t="s">
        <v>65</v>
      </c>
      <c r="P791" s="2">
        <v>246</v>
      </c>
      <c r="Q791" t="s">
        <v>104</v>
      </c>
      <c r="R791" t="s">
        <v>75</v>
      </c>
      <c r="S791" t="s">
        <v>50</v>
      </c>
      <c r="T791" t="s">
        <v>59</v>
      </c>
    </row>
    <row r="792" spans="1:20" x14ac:dyDescent="0.25">
      <c r="A792" s="2">
        <v>791</v>
      </c>
      <c r="B792" s="2">
        <v>49022</v>
      </c>
      <c r="C792" t="s">
        <v>19</v>
      </c>
      <c r="D792" t="s">
        <v>66</v>
      </c>
      <c r="E792" t="s">
        <v>99</v>
      </c>
      <c r="F792" t="s">
        <v>100</v>
      </c>
      <c r="G792" t="s">
        <v>78</v>
      </c>
      <c r="H792" t="s">
        <v>71</v>
      </c>
      <c r="I792" t="s">
        <v>47</v>
      </c>
      <c r="J792" t="s">
        <v>25</v>
      </c>
      <c r="K792" s="6">
        <f t="shared" si="25"/>
        <v>2.5</v>
      </c>
      <c r="L792" t="s">
        <v>64</v>
      </c>
      <c r="M792">
        <f t="shared" si="24"/>
        <v>7</v>
      </c>
      <c r="N792" t="s">
        <v>27</v>
      </c>
      <c r="O792" t="s">
        <v>103</v>
      </c>
      <c r="P792" s="2">
        <v>192</v>
      </c>
      <c r="Q792" t="s">
        <v>29</v>
      </c>
      <c r="R792" t="s">
        <v>30</v>
      </c>
      <c r="S792" t="s">
        <v>50</v>
      </c>
      <c r="T792" t="s">
        <v>32</v>
      </c>
    </row>
    <row r="793" spans="1:20" x14ac:dyDescent="0.25">
      <c r="A793" s="2">
        <v>792</v>
      </c>
      <c r="B793" s="2">
        <v>21039</v>
      </c>
      <c r="C793" t="s">
        <v>33</v>
      </c>
      <c r="D793" t="s">
        <v>52</v>
      </c>
      <c r="E793" t="s">
        <v>53</v>
      </c>
      <c r="F793" t="s">
        <v>54</v>
      </c>
      <c r="G793" t="s">
        <v>63</v>
      </c>
      <c r="H793" t="s">
        <v>23</v>
      </c>
      <c r="I793" t="s">
        <v>56</v>
      </c>
      <c r="J793" t="s">
        <v>57</v>
      </c>
      <c r="K793" s="6">
        <f t="shared" si="25"/>
        <v>0.55000000000000004</v>
      </c>
      <c r="L793" t="s">
        <v>64</v>
      </c>
      <c r="M793">
        <f t="shared" si="24"/>
        <v>7</v>
      </c>
      <c r="N793" t="s">
        <v>40</v>
      </c>
      <c r="O793" t="s">
        <v>103</v>
      </c>
      <c r="P793" s="2">
        <v>528</v>
      </c>
      <c r="Q793" t="s">
        <v>104</v>
      </c>
      <c r="R793" t="s">
        <v>68</v>
      </c>
      <c r="S793" t="s">
        <v>50</v>
      </c>
      <c r="T793" t="s">
        <v>59</v>
      </c>
    </row>
    <row r="794" spans="1:20" x14ac:dyDescent="0.25">
      <c r="A794" s="2">
        <v>793</v>
      </c>
      <c r="B794" s="2">
        <v>70459</v>
      </c>
      <c r="C794" t="s">
        <v>19</v>
      </c>
      <c r="D794" t="s">
        <v>52</v>
      </c>
      <c r="E794" t="s">
        <v>20</v>
      </c>
      <c r="F794" t="s">
        <v>21</v>
      </c>
      <c r="G794" t="s">
        <v>22</v>
      </c>
      <c r="H794" t="s">
        <v>73</v>
      </c>
      <c r="I794" t="s">
        <v>24</v>
      </c>
      <c r="J794" t="s">
        <v>25</v>
      </c>
      <c r="K794" s="6">
        <f t="shared" si="25"/>
        <v>1.2</v>
      </c>
      <c r="L794" t="s">
        <v>64</v>
      </c>
      <c r="M794">
        <f t="shared" si="24"/>
        <v>7</v>
      </c>
      <c r="N794" t="s">
        <v>40</v>
      </c>
      <c r="O794" t="s">
        <v>103</v>
      </c>
      <c r="P794" s="2">
        <v>1054</v>
      </c>
      <c r="Q794" t="s">
        <v>104</v>
      </c>
      <c r="R794" t="s">
        <v>42</v>
      </c>
      <c r="S794" t="s">
        <v>58</v>
      </c>
      <c r="T794" t="s">
        <v>32</v>
      </c>
    </row>
    <row r="795" spans="1:20" x14ac:dyDescent="0.25">
      <c r="A795" s="2">
        <v>794</v>
      </c>
      <c r="B795" s="2">
        <v>14806</v>
      </c>
      <c r="C795" t="s">
        <v>96</v>
      </c>
      <c r="D795" t="s">
        <v>66</v>
      </c>
      <c r="E795" t="s">
        <v>84</v>
      </c>
      <c r="F795" t="s">
        <v>85</v>
      </c>
      <c r="G795" t="s">
        <v>81</v>
      </c>
      <c r="H795" t="s">
        <v>46</v>
      </c>
      <c r="I795" t="s">
        <v>94</v>
      </c>
      <c r="J795" t="s">
        <v>57</v>
      </c>
      <c r="K795" s="6">
        <f t="shared" si="25"/>
        <v>1.5</v>
      </c>
      <c r="L795" t="s">
        <v>64</v>
      </c>
      <c r="M795">
        <f t="shared" si="24"/>
        <v>7</v>
      </c>
      <c r="N795" t="s">
        <v>27</v>
      </c>
      <c r="O795" t="s">
        <v>65</v>
      </c>
      <c r="P795" s="2">
        <v>335</v>
      </c>
      <c r="Q795" t="s">
        <v>74</v>
      </c>
      <c r="R795" t="s">
        <v>75</v>
      </c>
      <c r="S795" t="s">
        <v>69</v>
      </c>
      <c r="T795" t="s">
        <v>32</v>
      </c>
    </row>
    <row r="796" spans="1:20" x14ac:dyDescent="0.25">
      <c r="A796" s="2">
        <v>795</v>
      </c>
      <c r="B796" s="2">
        <v>30885</v>
      </c>
      <c r="C796" t="s">
        <v>60</v>
      </c>
      <c r="D796" t="s">
        <v>52</v>
      </c>
      <c r="E796" t="s">
        <v>84</v>
      </c>
      <c r="F796" t="s">
        <v>85</v>
      </c>
      <c r="G796" t="s">
        <v>45</v>
      </c>
      <c r="H796" t="s">
        <v>23</v>
      </c>
      <c r="I796" t="s">
        <v>38</v>
      </c>
      <c r="J796" t="s">
        <v>57</v>
      </c>
      <c r="K796" s="6">
        <f t="shared" si="25"/>
        <v>2</v>
      </c>
      <c r="L796" t="s">
        <v>64</v>
      </c>
      <c r="M796">
        <f t="shared" si="24"/>
        <v>7</v>
      </c>
      <c r="N796" t="s">
        <v>40</v>
      </c>
      <c r="O796" t="s">
        <v>103</v>
      </c>
      <c r="P796" s="2">
        <v>431</v>
      </c>
      <c r="Q796" t="s">
        <v>74</v>
      </c>
      <c r="R796" t="s">
        <v>30</v>
      </c>
      <c r="S796" t="s">
        <v>69</v>
      </c>
      <c r="T796" t="s">
        <v>32</v>
      </c>
    </row>
    <row r="797" spans="1:20" x14ac:dyDescent="0.25">
      <c r="A797" s="2">
        <v>796</v>
      </c>
      <c r="B797" s="2">
        <v>57929</v>
      </c>
      <c r="C797" t="s">
        <v>96</v>
      </c>
      <c r="D797" t="s">
        <v>66</v>
      </c>
      <c r="E797" t="s">
        <v>61</v>
      </c>
      <c r="F797" t="s">
        <v>62</v>
      </c>
      <c r="G797" t="s">
        <v>70</v>
      </c>
      <c r="H797" t="s">
        <v>46</v>
      </c>
      <c r="I797" t="s">
        <v>38</v>
      </c>
      <c r="J797" t="s">
        <v>57</v>
      </c>
      <c r="K797" s="6">
        <f t="shared" si="25"/>
        <v>2</v>
      </c>
      <c r="L797" t="s">
        <v>64</v>
      </c>
      <c r="M797">
        <f t="shared" si="24"/>
        <v>7</v>
      </c>
      <c r="N797" t="s">
        <v>27</v>
      </c>
      <c r="O797" t="s">
        <v>103</v>
      </c>
      <c r="P797" s="2">
        <v>519</v>
      </c>
      <c r="Q797" t="s">
        <v>29</v>
      </c>
      <c r="R797" t="s">
        <v>75</v>
      </c>
      <c r="S797" t="s">
        <v>50</v>
      </c>
      <c r="T797" t="s">
        <v>59</v>
      </c>
    </row>
    <row r="798" spans="1:20" x14ac:dyDescent="0.25">
      <c r="A798" s="2">
        <v>797</v>
      </c>
      <c r="B798" s="2">
        <v>31077</v>
      </c>
      <c r="C798" t="s">
        <v>19</v>
      </c>
      <c r="D798" t="s">
        <v>66</v>
      </c>
      <c r="E798" t="s">
        <v>97</v>
      </c>
      <c r="F798" t="s">
        <v>62</v>
      </c>
      <c r="G798" t="s">
        <v>78</v>
      </c>
      <c r="H798" t="s">
        <v>73</v>
      </c>
      <c r="I798" t="s">
        <v>94</v>
      </c>
      <c r="J798" t="s">
        <v>48</v>
      </c>
      <c r="K798" s="6">
        <f t="shared" si="25"/>
        <v>1.5</v>
      </c>
      <c r="L798" t="s">
        <v>26</v>
      </c>
      <c r="M798">
        <f t="shared" si="24"/>
        <v>1</v>
      </c>
      <c r="N798" t="s">
        <v>27</v>
      </c>
      <c r="O798" t="s">
        <v>103</v>
      </c>
      <c r="P798" s="2">
        <v>1196</v>
      </c>
      <c r="Q798" t="s">
        <v>29</v>
      </c>
      <c r="R798" t="s">
        <v>75</v>
      </c>
      <c r="S798" t="s">
        <v>31</v>
      </c>
      <c r="T798" t="s">
        <v>59</v>
      </c>
    </row>
    <row r="799" spans="1:20" x14ac:dyDescent="0.25">
      <c r="A799" s="2">
        <v>798</v>
      </c>
      <c r="B799" s="2">
        <v>81913</v>
      </c>
      <c r="C799" t="s">
        <v>96</v>
      </c>
      <c r="D799" t="s">
        <v>52</v>
      </c>
      <c r="E799" t="s">
        <v>89</v>
      </c>
      <c r="F799" t="s">
        <v>90</v>
      </c>
      <c r="G799" t="s">
        <v>55</v>
      </c>
      <c r="H799" t="s">
        <v>71</v>
      </c>
      <c r="I799" t="s">
        <v>47</v>
      </c>
      <c r="J799" t="s">
        <v>48</v>
      </c>
      <c r="K799" s="6">
        <f t="shared" si="25"/>
        <v>2.5</v>
      </c>
      <c r="L799" t="s">
        <v>49</v>
      </c>
      <c r="M799">
        <f t="shared" si="24"/>
        <v>3</v>
      </c>
      <c r="N799" t="s">
        <v>27</v>
      </c>
      <c r="O799" t="s">
        <v>102</v>
      </c>
      <c r="P799" s="2">
        <v>229</v>
      </c>
      <c r="Q799" t="s">
        <v>41</v>
      </c>
      <c r="R799" t="s">
        <v>30</v>
      </c>
      <c r="S799" t="s">
        <v>69</v>
      </c>
      <c r="T799" t="s">
        <v>59</v>
      </c>
    </row>
    <row r="800" spans="1:20" x14ac:dyDescent="0.25">
      <c r="A800" s="2">
        <v>799</v>
      </c>
      <c r="B800" s="2">
        <v>28728</v>
      </c>
      <c r="C800" t="s">
        <v>19</v>
      </c>
      <c r="D800" t="s">
        <v>52</v>
      </c>
      <c r="E800" t="s">
        <v>44</v>
      </c>
      <c r="F800" t="s">
        <v>44</v>
      </c>
      <c r="G800" t="s">
        <v>78</v>
      </c>
      <c r="H800" t="s">
        <v>73</v>
      </c>
      <c r="I800" t="s">
        <v>67</v>
      </c>
      <c r="J800" t="s">
        <v>57</v>
      </c>
      <c r="K800" s="6">
        <f t="shared" si="25"/>
        <v>2.2000000000000002</v>
      </c>
      <c r="L800" t="s">
        <v>49</v>
      </c>
      <c r="M800">
        <f t="shared" si="24"/>
        <v>3</v>
      </c>
      <c r="N800" t="s">
        <v>40</v>
      </c>
      <c r="O800" t="s">
        <v>103</v>
      </c>
      <c r="P800" s="2">
        <v>1179</v>
      </c>
      <c r="Q800" t="s">
        <v>41</v>
      </c>
      <c r="R800" t="s">
        <v>30</v>
      </c>
      <c r="S800" t="s">
        <v>31</v>
      </c>
      <c r="T800" t="s">
        <v>43</v>
      </c>
    </row>
    <row r="801" spans="1:20" x14ac:dyDescent="0.25">
      <c r="A801" s="2">
        <v>800</v>
      </c>
      <c r="B801" s="2">
        <v>36642</v>
      </c>
      <c r="C801" t="s">
        <v>51</v>
      </c>
      <c r="D801" t="s">
        <v>66</v>
      </c>
      <c r="E801" t="s">
        <v>97</v>
      </c>
      <c r="F801" t="s">
        <v>62</v>
      </c>
      <c r="G801" t="s">
        <v>55</v>
      </c>
      <c r="H801" t="s">
        <v>23</v>
      </c>
      <c r="I801" t="s">
        <v>94</v>
      </c>
      <c r="J801" t="s">
        <v>57</v>
      </c>
      <c r="K801" s="6">
        <f t="shared" si="25"/>
        <v>1.5</v>
      </c>
      <c r="L801" t="s">
        <v>49</v>
      </c>
      <c r="M801">
        <f t="shared" si="24"/>
        <v>3</v>
      </c>
      <c r="N801" t="s">
        <v>104</v>
      </c>
      <c r="O801" t="s">
        <v>103</v>
      </c>
      <c r="P801" s="2">
        <v>718</v>
      </c>
      <c r="Q801" t="s">
        <v>29</v>
      </c>
      <c r="R801" t="s">
        <v>30</v>
      </c>
      <c r="S801" t="s">
        <v>50</v>
      </c>
      <c r="T801" t="s">
        <v>59</v>
      </c>
    </row>
    <row r="802" spans="1:20" x14ac:dyDescent="0.25">
      <c r="A802" s="2">
        <v>801</v>
      </c>
      <c r="B802" s="2">
        <v>51505</v>
      </c>
      <c r="C802" t="s">
        <v>51</v>
      </c>
      <c r="D802" t="s">
        <v>52</v>
      </c>
      <c r="E802" t="s">
        <v>61</v>
      </c>
      <c r="F802" t="s">
        <v>62</v>
      </c>
      <c r="G802" t="s">
        <v>98</v>
      </c>
      <c r="H802" t="s">
        <v>71</v>
      </c>
      <c r="I802" t="s">
        <v>83</v>
      </c>
      <c r="J802" t="s">
        <v>57</v>
      </c>
      <c r="K802" s="6">
        <f t="shared" si="25"/>
        <v>0.55000000000000004</v>
      </c>
      <c r="L802" t="s">
        <v>64</v>
      </c>
      <c r="M802">
        <f t="shared" si="24"/>
        <v>7</v>
      </c>
      <c r="N802" t="s">
        <v>40</v>
      </c>
      <c r="O802" t="s">
        <v>82</v>
      </c>
      <c r="P802" s="2">
        <v>175</v>
      </c>
      <c r="Q802" t="s">
        <v>74</v>
      </c>
      <c r="R802" t="s">
        <v>68</v>
      </c>
      <c r="S802" t="s">
        <v>69</v>
      </c>
      <c r="T802" t="s">
        <v>59</v>
      </c>
    </row>
    <row r="803" spans="1:20" x14ac:dyDescent="0.25">
      <c r="A803" s="2">
        <v>802</v>
      </c>
      <c r="B803" s="2">
        <v>48834</v>
      </c>
      <c r="C803" t="s">
        <v>60</v>
      </c>
      <c r="D803" t="s">
        <v>66</v>
      </c>
      <c r="E803" t="s">
        <v>89</v>
      </c>
      <c r="F803" t="s">
        <v>90</v>
      </c>
      <c r="G803" t="s">
        <v>63</v>
      </c>
      <c r="H803" t="s">
        <v>71</v>
      </c>
      <c r="I803" t="s">
        <v>94</v>
      </c>
      <c r="J803" t="s">
        <v>48</v>
      </c>
      <c r="K803" s="6">
        <f t="shared" si="25"/>
        <v>0.375</v>
      </c>
      <c r="L803" t="s">
        <v>26</v>
      </c>
      <c r="M803">
        <f t="shared" si="24"/>
        <v>1</v>
      </c>
      <c r="N803" t="s">
        <v>27</v>
      </c>
      <c r="O803" t="s">
        <v>82</v>
      </c>
      <c r="P803" s="2">
        <v>392</v>
      </c>
      <c r="Q803" t="s">
        <v>29</v>
      </c>
      <c r="R803" t="s">
        <v>68</v>
      </c>
      <c r="S803" t="s">
        <v>69</v>
      </c>
      <c r="T803" t="s">
        <v>59</v>
      </c>
    </row>
    <row r="804" spans="1:20" x14ac:dyDescent="0.25">
      <c r="A804" s="2">
        <v>803</v>
      </c>
      <c r="B804" s="2">
        <v>40752</v>
      </c>
      <c r="C804" t="s">
        <v>33</v>
      </c>
      <c r="D804" t="s">
        <v>66</v>
      </c>
      <c r="E804" t="s">
        <v>99</v>
      </c>
      <c r="F804" t="s">
        <v>100</v>
      </c>
      <c r="G804" t="s">
        <v>45</v>
      </c>
      <c r="H804" t="s">
        <v>73</v>
      </c>
      <c r="I804" t="s">
        <v>94</v>
      </c>
      <c r="J804" t="s">
        <v>57</v>
      </c>
      <c r="K804" s="6">
        <f t="shared" si="25"/>
        <v>0.375</v>
      </c>
      <c r="L804" t="s">
        <v>26</v>
      </c>
      <c r="M804">
        <f t="shared" si="24"/>
        <v>1</v>
      </c>
      <c r="N804" t="s">
        <v>27</v>
      </c>
      <c r="O804" t="s">
        <v>65</v>
      </c>
      <c r="P804" s="2">
        <v>808</v>
      </c>
      <c r="Q804" t="s">
        <v>29</v>
      </c>
      <c r="R804" t="s">
        <v>68</v>
      </c>
      <c r="S804" t="s">
        <v>50</v>
      </c>
      <c r="T804" t="s">
        <v>32</v>
      </c>
    </row>
    <row r="805" spans="1:20" x14ac:dyDescent="0.25">
      <c r="A805" s="2">
        <v>804</v>
      </c>
      <c r="B805" s="2">
        <v>18108</v>
      </c>
      <c r="C805" t="s">
        <v>33</v>
      </c>
      <c r="D805" t="s">
        <v>66</v>
      </c>
      <c r="E805" t="s">
        <v>61</v>
      </c>
      <c r="F805" t="s">
        <v>62</v>
      </c>
      <c r="G805" t="s">
        <v>63</v>
      </c>
      <c r="H805" t="s">
        <v>23</v>
      </c>
      <c r="I805" t="s">
        <v>67</v>
      </c>
      <c r="J805" t="s">
        <v>86</v>
      </c>
      <c r="K805" s="6">
        <f t="shared" si="25"/>
        <v>2.2000000000000002</v>
      </c>
      <c r="L805" t="s">
        <v>49</v>
      </c>
      <c r="M805">
        <f t="shared" si="24"/>
        <v>3</v>
      </c>
      <c r="N805" t="s">
        <v>104</v>
      </c>
      <c r="O805" t="s">
        <v>103</v>
      </c>
      <c r="P805" s="2">
        <v>853</v>
      </c>
      <c r="Q805" t="s">
        <v>74</v>
      </c>
      <c r="R805" t="s">
        <v>75</v>
      </c>
      <c r="S805" t="s">
        <v>69</v>
      </c>
      <c r="T805" t="s">
        <v>59</v>
      </c>
    </row>
    <row r="806" spans="1:20" x14ac:dyDescent="0.25">
      <c r="A806" s="2">
        <v>805</v>
      </c>
      <c r="B806" s="2">
        <v>45064</v>
      </c>
      <c r="C806" t="s">
        <v>33</v>
      </c>
      <c r="D806" t="s">
        <v>52</v>
      </c>
      <c r="E806" t="s">
        <v>34</v>
      </c>
      <c r="F806" t="s">
        <v>35</v>
      </c>
      <c r="G806" t="s">
        <v>70</v>
      </c>
      <c r="H806" t="s">
        <v>71</v>
      </c>
      <c r="I806" t="s">
        <v>47</v>
      </c>
      <c r="J806" t="s">
        <v>48</v>
      </c>
      <c r="K806" s="6">
        <f t="shared" si="25"/>
        <v>2.5</v>
      </c>
      <c r="L806" t="s">
        <v>64</v>
      </c>
      <c r="M806">
        <f t="shared" si="24"/>
        <v>7</v>
      </c>
      <c r="N806" t="s">
        <v>27</v>
      </c>
      <c r="O806" t="s">
        <v>102</v>
      </c>
      <c r="P806" s="2">
        <v>265</v>
      </c>
      <c r="Q806" t="s">
        <v>41</v>
      </c>
      <c r="R806" t="s">
        <v>30</v>
      </c>
      <c r="S806" t="s">
        <v>50</v>
      </c>
      <c r="T806" t="s">
        <v>43</v>
      </c>
    </row>
    <row r="807" spans="1:20" x14ac:dyDescent="0.25">
      <c r="A807" s="2">
        <v>806</v>
      </c>
      <c r="B807" s="2">
        <v>99959</v>
      </c>
      <c r="C807" t="s">
        <v>33</v>
      </c>
      <c r="D807" t="s">
        <v>52</v>
      </c>
      <c r="E807" t="s">
        <v>20</v>
      </c>
      <c r="F807" t="s">
        <v>21</v>
      </c>
      <c r="G807" t="s">
        <v>36</v>
      </c>
      <c r="H807" t="s">
        <v>73</v>
      </c>
      <c r="I807" t="s">
        <v>56</v>
      </c>
      <c r="J807" t="s">
        <v>86</v>
      </c>
      <c r="K807" s="6">
        <f t="shared" si="25"/>
        <v>2.2000000000000002</v>
      </c>
      <c r="L807" t="s">
        <v>64</v>
      </c>
      <c r="M807">
        <f t="shared" si="24"/>
        <v>7</v>
      </c>
      <c r="N807" t="s">
        <v>27</v>
      </c>
      <c r="O807" t="s">
        <v>103</v>
      </c>
      <c r="P807" s="2">
        <v>1035</v>
      </c>
      <c r="Q807" t="s">
        <v>74</v>
      </c>
      <c r="R807" t="s">
        <v>30</v>
      </c>
      <c r="S807" t="s">
        <v>50</v>
      </c>
      <c r="T807" t="s">
        <v>32</v>
      </c>
    </row>
    <row r="808" spans="1:20" x14ac:dyDescent="0.25">
      <c r="A808" s="2">
        <v>807</v>
      </c>
      <c r="B808" s="2">
        <v>60384</v>
      </c>
      <c r="C808" t="s">
        <v>51</v>
      </c>
      <c r="D808" t="s">
        <v>52</v>
      </c>
      <c r="E808" t="s">
        <v>101</v>
      </c>
      <c r="F808" t="s">
        <v>80</v>
      </c>
      <c r="G808" t="s">
        <v>92</v>
      </c>
      <c r="H808" t="s">
        <v>46</v>
      </c>
      <c r="I808" t="s">
        <v>94</v>
      </c>
      <c r="J808" t="s">
        <v>48</v>
      </c>
      <c r="K808" s="6">
        <f t="shared" si="25"/>
        <v>1.5</v>
      </c>
      <c r="L808" t="s">
        <v>26</v>
      </c>
      <c r="M808">
        <f t="shared" si="24"/>
        <v>1</v>
      </c>
      <c r="N808" t="s">
        <v>27</v>
      </c>
      <c r="O808" t="s">
        <v>103</v>
      </c>
      <c r="P808" s="2">
        <v>597</v>
      </c>
      <c r="Q808" t="s">
        <v>41</v>
      </c>
      <c r="R808" t="s">
        <v>75</v>
      </c>
      <c r="S808" t="s">
        <v>69</v>
      </c>
      <c r="T808" t="s">
        <v>32</v>
      </c>
    </row>
    <row r="809" spans="1:20" x14ac:dyDescent="0.25">
      <c r="A809" s="2">
        <v>808</v>
      </c>
      <c r="B809" s="2">
        <v>17873</v>
      </c>
      <c r="C809" t="s">
        <v>96</v>
      </c>
      <c r="D809" t="s">
        <v>52</v>
      </c>
      <c r="E809" t="s">
        <v>95</v>
      </c>
      <c r="F809" t="s">
        <v>21</v>
      </c>
      <c r="G809" t="s">
        <v>63</v>
      </c>
      <c r="H809" t="s">
        <v>46</v>
      </c>
      <c r="I809" t="s">
        <v>67</v>
      </c>
      <c r="J809" t="s">
        <v>57</v>
      </c>
      <c r="K809" s="6">
        <f t="shared" si="25"/>
        <v>2.2000000000000002</v>
      </c>
      <c r="L809" t="s">
        <v>64</v>
      </c>
      <c r="M809">
        <f t="shared" si="24"/>
        <v>7</v>
      </c>
      <c r="N809" t="s">
        <v>104</v>
      </c>
      <c r="O809" t="s">
        <v>82</v>
      </c>
      <c r="P809" s="2">
        <v>389</v>
      </c>
      <c r="Q809" t="s">
        <v>74</v>
      </c>
      <c r="R809" t="s">
        <v>30</v>
      </c>
      <c r="S809" t="s">
        <v>58</v>
      </c>
      <c r="T809" t="s">
        <v>43</v>
      </c>
    </row>
    <row r="810" spans="1:20" x14ac:dyDescent="0.25">
      <c r="A810" s="2">
        <v>809</v>
      </c>
      <c r="B810" s="2">
        <v>60704</v>
      </c>
      <c r="C810" t="s">
        <v>51</v>
      </c>
      <c r="D810" t="s">
        <v>52</v>
      </c>
      <c r="E810" t="s">
        <v>79</v>
      </c>
      <c r="F810" t="s">
        <v>80</v>
      </c>
      <c r="G810" t="s">
        <v>81</v>
      </c>
      <c r="H810" t="s">
        <v>23</v>
      </c>
      <c r="I810" t="s">
        <v>56</v>
      </c>
      <c r="J810" t="s">
        <v>57</v>
      </c>
      <c r="K810" s="6">
        <f t="shared" si="25"/>
        <v>0.55000000000000004</v>
      </c>
      <c r="L810" t="s">
        <v>26</v>
      </c>
      <c r="M810">
        <f t="shared" si="24"/>
        <v>1</v>
      </c>
      <c r="N810" t="s">
        <v>104</v>
      </c>
      <c r="O810" t="s">
        <v>72</v>
      </c>
      <c r="P810" s="2">
        <v>545</v>
      </c>
      <c r="Q810" t="s">
        <v>29</v>
      </c>
      <c r="R810" t="s">
        <v>68</v>
      </c>
      <c r="S810" t="s">
        <v>58</v>
      </c>
      <c r="T810" t="s">
        <v>43</v>
      </c>
    </row>
    <row r="811" spans="1:20" x14ac:dyDescent="0.25">
      <c r="A811" s="2">
        <v>810</v>
      </c>
      <c r="B811" s="2">
        <v>12942</v>
      </c>
      <c r="C811" t="s">
        <v>51</v>
      </c>
      <c r="D811" t="s">
        <v>66</v>
      </c>
      <c r="E811" t="s">
        <v>79</v>
      </c>
      <c r="F811" t="s">
        <v>80</v>
      </c>
      <c r="G811" t="s">
        <v>22</v>
      </c>
      <c r="H811" t="s">
        <v>23</v>
      </c>
      <c r="I811" t="s">
        <v>56</v>
      </c>
      <c r="J811" t="s">
        <v>25</v>
      </c>
      <c r="K811" s="6">
        <f t="shared" si="25"/>
        <v>0.55000000000000004</v>
      </c>
      <c r="L811" t="s">
        <v>64</v>
      </c>
      <c r="M811">
        <f t="shared" si="24"/>
        <v>7</v>
      </c>
      <c r="N811" t="s">
        <v>40</v>
      </c>
      <c r="O811" t="s">
        <v>82</v>
      </c>
      <c r="P811" s="2">
        <v>811</v>
      </c>
      <c r="Q811" t="s">
        <v>41</v>
      </c>
      <c r="R811" t="s">
        <v>68</v>
      </c>
      <c r="S811" t="s">
        <v>69</v>
      </c>
      <c r="T811" t="s">
        <v>43</v>
      </c>
    </row>
    <row r="812" spans="1:20" x14ac:dyDescent="0.25">
      <c r="A812" s="2">
        <v>811</v>
      </c>
      <c r="B812" s="2">
        <v>95929</v>
      </c>
      <c r="C812" t="s">
        <v>19</v>
      </c>
      <c r="D812" t="s">
        <v>52</v>
      </c>
      <c r="E812" t="s">
        <v>101</v>
      </c>
      <c r="F812" t="s">
        <v>80</v>
      </c>
      <c r="G812" t="s">
        <v>36</v>
      </c>
      <c r="H812" t="s">
        <v>23</v>
      </c>
      <c r="I812" t="s">
        <v>56</v>
      </c>
      <c r="J812" t="s">
        <v>39</v>
      </c>
      <c r="K812" s="6">
        <f t="shared" si="25"/>
        <v>2.2000000000000002</v>
      </c>
      <c r="L812" t="s">
        <v>26</v>
      </c>
      <c r="M812">
        <f t="shared" si="24"/>
        <v>1</v>
      </c>
      <c r="N812" t="s">
        <v>27</v>
      </c>
      <c r="O812" t="s">
        <v>102</v>
      </c>
      <c r="P812" s="2">
        <v>576</v>
      </c>
      <c r="Q812" t="s">
        <v>104</v>
      </c>
      <c r="R812" t="s">
        <v>75</v>
      </c>
      <c r="S812" t="s">
        <v>69</v>
      </c>
      <c r="T812" t="s">
        <v>32</v>
      </c>
    </row>
    <row r="813" spans="1:20" x14ac:dyDescent="0.25">
      <c r="A813" s="2">
        <v>812</v>
      </c>
      <c r="B813" s="2">
        <v>40549</v>
      </c>
      <c r="C813" t="s">
        <v>51</v>
      </c>
      <c r="D813" t="s">
        <v>52</v>
      </c>
      <c r="E813" t="s">
        <v>61</v>
      </c>
      <c r="F813" t="s">
        <v>62</v>
      </c>
      <c r="G813" t="s">
        <v>78</v>
      </c>
      <c r="H813" t="s">
        <v>23</v>
      </c>
      <c r="I813" t="s">
        <v>83</v>
      </c>
      <c r="J813" t="s">
        <v>57</v>
      </c>
      <c r="K813" s="6">
        <f t="shared" si="25"/>
        <v>1.1000000000000001</v>
      </c>
      <c r="L813" t="s">
        <v>64</v>
      </c>
      <c r="M813">
        <f t="shared" si="24"/>
        <v>7</v>
      </c>
      <c r="N813" t="s">
        <v>27</v>
      </c>
      <c r="O813" t="s">
        <v>102</v>
      </c>
      <c r="P813" s="2">
        <v>820</v>
      </c>
      <c r="Q813" t="s">
        <v>104</v>
      </c>
      <c r="R813" t="s">
        <v>42</v>
      </c>
      <c r="S813" t="s">
        <v>31</v>
      </c>
      <c r="T813" t="s">
        <v>59</v>
      </c>
    </row>
    <row r="814" spans="1:20" x14ac:dyDescent="0.25">
      <c r="A814" s="2">
        <v>813</v>
      </c>
      <c r="B814" s="2">
        <v>53122</v>
      </c>
      <c r="C814" t="s">
        <v>51</v>
      </c>
      <c r="D814" t="s">
        <v>66</v>
      </c>
      <c r="E814" t="s">
        <v>84</v>
      </c>
      <c r="F814" t="s">
        <v>85</v>
      </c>
      <c r="G814" t="s">
        <v>36</v>
      </c>
      <c r="H814" t="s">
        <v>23</v>
      </c>
      <c r="I814" t="s">
        <v>38</v>
      </c>
      <c r="J814" t="s">
        <v>57</v>
      </c>
      <c r="K814" s="6">
        <f t="shared" si="25"/>
        <v>2</v>
      </c>
      <c r="L814" t="s">
        <v>64</v>
      </c>
      <c r="M814">
        <f t="shared" si="24"/>
        <v>7</v>
      </c>
      <c r="N814" t="s">
        <v>40</v>
      </c>
      <c r="O814" t="s">
        <v>82</v>
      </c>
      <c r="P814" s="2">
        <v>886</v>
      </c>
      <c r="Q814" t="s">
        <v>29</v>
      </c>
      <c r="R814" t="s">
        <v>30</v>
      </c>
      <c r="S814" t="s">
        <v>69</v>
      </c>
      <c r="T814" t="s">
        <v>32</v>
      </c>
    </row>
    <row r="815" spans="1:20" x14ac:dyDescent="0.25">
      <c r="A815" s="2">
        <v>814</v>
      </c>
      <c r="B815" s="2">
        <v>51817</v>
      </c>
      <c r="C815" t="s">
        <v>33</v>
      </c>
      <c r="D815" t="s">
        <v>52</v>
      </c>
      <c r="E815" t="s">
        <v>44</v>
      </c>
      <c r="F815" t="s">
        <v>44</v>
      </c>
      <c r="G815" t="s">
        <v>63</v>
      </c>
      <c r="H815" t="s">
        <v>46</v>
      </c>
      <c r="I815" t="s">
        <v>56</v>
      </c>
      <c r="J815" t="s">
        <v>48</v>
      </c>
      <c r="K815" s="6">
        <f t="shared" si="25"/>
        <v>2.2000000000000002</v>
      </c>
      <c r="L815" t="s">
        <v>64</v>
      </c>
      <c r="M815">
        <f t="shared" si="24"/>
        <v>7</v>
      </c>
      <c r="N815" t="s">
        <v>27</v>
      </c>
      <c r="O815" t="s">
        <v>28</v>
      </c>
      <c r="P815" s="2">
        <v>428</v>
      </c>
      <c r="Q815" t="s">
        <v>41</v>
      </c>
      <c r="R815" t="s">
        <v>30</v>
      </c>
      <c r="S815" t="s">
        <v>31</v>
      </c>
      <c r="T815" t="s">
        <v>43</v>
      </c>
    </row>
    <row r="816" spans="1:20" x14ac:dyDescent="0.25">
      <c r="A816" s="2">
        <v>815</v>
      </c>
      <c r="B816" s="2">
        <v>87249</v>
      </c>
      <c r="C816" t="s">
        <v>51</v>
      </c>
      <c r="D816" t="s">
        <v>52</v>
      </c>
      <c r="E816" t="s">
        <v>99</v>
      </c>
      <c r="F816" t="s">
        <v>100</v>
      </c>
      <c r="G816" t="s">
        <v>78</v>
      </c>
      <c r="H816" t="s">
        <v>37</v>
      </c>
      <c r="I816" t="s">
        <v>83</v>
      </c>
      <c r="J816" t="s">
        <v>86</v>
      </c>
      <c r="K816" s="6">
        <f t="shared" si="25"/>
        <v>0.55000000000000004</v>
      </c>
      <c r="L816" t="s">
        <v>49</v>
      </c>
      <c r="M816">
        <f t="shared" si="24"/>
        <v>3</v>
      </c>
      <c r="N816" t="s">
        <v>27</v>
      </c>
      <c r="O816" t="s">
        <v>103</v>
      </c>
      <c r="P816" s="2">
        <v>2078</v>
      </c>
      <c r="Q816" t="s">
        <v>41</v>
      </c>
      <c r="R816" t="s">
        <v>68</v>
      </c>
      <c r="S816" t="s">
        <v>50</v>
      </c>
      <c r="T816" t="s">
        <v>32</v>
      </c>
    </row>
    <row r="817" spans="1:20" x14ac:dyDescent="0.25">
      <c r="A817" s="2">
        <v>816</v>
      </c>
      <c r="B817" s="2">
        <v>18840</v>
      </c>
      <c r="C817" t="s">
        <v>51</v>
      </c>
      <c r="D817" t="s">
        <v>66</v>
      </c>
      <c r="E817" t="s">
        <v>53</v>
      </c>
      <c r="F817" t="s">
        <v>54</v>
      </c>
      <c r="G817" t="s">
        <v>78</v>
      </c>
      <c r="H817" t="s">
        <v>23</v>
      </c>
      <c r="I817" t="s">
        <v>83</v>
      </c>
      <c r="J817" t="s">
        <v>57</v>
      </c>
      <c r="K817" s="6">
        <f t="shared" si="25"/>
        <v>1.1000000000000001</v>
      </c>
      <c r="L817" t="s">
        <v>26</v>
      </c>
      <c r="M817">
        <f t="shared" si="24"/>
        <v>1</v>
      </c>
      <c r="N817" t="s">
        <v>40</v>
      </c>
      <c r="O817" t="s">
        <v>103</v>
      </c>
      <c r="P817" s="2">
        <v>644</v>
      </c>
      <c r="Q817" t="s">
        <v>29</v>
      </c>
      <c r="R817" t="s">
        <v>42</v>
      </c>
      <c r="S817" t="s">
        <v>58</v>
      </c>
      <c r="T817" t="s">
        <v>59</v>
      </c>
    </row>
    <row r="818" spans="1:20" x14ac:dyDescent="0.25">
      <c r="A818" s="2">
        <v>817</v>
      </c>
      <c r="B818" s="2">
        <v>59899</v>
      </c>
      <c r="C818" t="s">
        <v>19</v>
      </c>
      <c r="D818" t="s">
        <v>52</v>
      </c>
      <c r="E818" t="s">
        <v>44</v>
      </c>
      <c r="F818" t="s">
        <v>44</v>
      </c>
      <c r="G818" t="s">
        <v>81</v>
      </c>
      <c r="H818" t="s">
        <v>73</v>
      </c>
      <c r="I818" t="s">
        <v>47</v>
      </c>
      <c r="J818" t="s">
        <v>57</v>
      </c>
      <c r="K818" s="6">
        <f t="shared" si="25"/>
        <v>1.25</v>
      </c>
      <c r="L818" t="s">
        <v>64</v>
      </c>
      <c r="M818">
        <f t="shared" si="24"/>
        <v>7</v>
      </c>
      <c r="N818" t="s">
        <v>104</v>
      </c>
      <c r="O818" t="s">
        <v>103</v>
      </c>
      <c r="P818" s="2">
        <v>1326</v>
      </c>
      <c r="Q818" t="s">
        <v>104</v>
      </c>
      <c r="R818" t="s">
        <v>42</v>
      </c>
      <c r="S818" t="s">
        <v>58</v>
      </c>
      <c r="T818" t="s">
        <v>43</v>
      </c>
    </row>
    <row r="819" spans="1:20" x14ac:dyDescent="0.25">
      <c r="A819" s="2">
        <v>818</v>
      </c>
      <c r="B819" s="2">
        <v>16829</v>
      </c>
      <c r="C819" t="s">
        <v>51</v>
      </c>
      <c r="D819" t="s">
        <v>52</v>
      </c>
      <c r="E819" t="s">
        <v>79</v>
      </c>
      <c r="F819" t="s">
        <v>80</v>
      </c>
      <c r="G819" t="s">
        <v>55</v>
      </c>
      <c r="H819" t="s">
        <v>73</v>
      </c>
      <c r="I819" t="s">
        <v>24</v>
      </c>
      <c r="J819" t="s">
        <v>48</v>
      </c>
      <c r="K819" s="6">
        <f t="shared" si="25"/>
        <v>0.6</v>
      </c>
      <c r="L819" t="s">
        <v>64</v>
      </c>
      <c r="M819">
        <f t="shared" si="24"/>
        <v>7</v>
      </c>
      <c r="N819" t="s">
        <v>104</v>
      </c>
      <c r="O819" t="s">
        <v>82</v>
      </c>
      <c r="P819" s="2">
        <v>894</v>
      </c>
      <c r="Q819" t="s">
        <v>29</v>
      </c>
      <c r="R819" t="s">
        <v>68</v>
      </c>
      <c r="S819" t="s">
        <v>58</v>
      </c>
      <c r="T819" t="s">
        <v>43</v>
      </c>
    </row>
    <row r="820" spans="1:20" x14ac:dyDescent="0.25">
      <c r="A820" s="2">
        <v>819</v>
      </c>
      <c r="B820" s="2">
        <v>72912</v>
      </c>
      <c r="C820" t="s">
        <v>96</v>
      </c>
      <c r="D820" t="s">
        <v>52</v>
      </c>
      <c r="E820" t="s">
        <v>95</v>
      </c>
      <c r="F820" t="s">
        <v>21</v>
      </c>
      <c r="G820" t="s">
        <v>55</v>
      </c>
      <c r="H820" t="s">
        <v>23</v>
      </c>
      <c r="I820" t="s">
        <v>24</v>
      </c>
      <c r="J820" t="s">
        <v>57</v>
      </c>
      <c r="K820" s="6">
        <f t="shared" si="25"/>
        <v>2.4</v>
      </c>
      <c r="L820" t="s">
        <v>64</v>
      </c>
      <c r="M820">
        <f t="shared" si="24"/>
        <v>7</v>
      </c>
      <c r="N820" t="s">
        <v>27</v>
      </c>
      <c r="O820" t="s">
        <v>103</v>
      </c>
      <c r="P820" s="2">
        <v>403</v>
      </c>
      <c r="Q820" t="s">
        <v>41</v>
      </c>
      <c r="R820" t="s">
        <v>30</v>
      </c>
      <c r="S820" t="s">
        <v>58</v>
      </c>
      <c r="T820" t="s">
        <v>43</v>
      </c>
    </row>
    <row r="821" spans="1:20" x14ac:dyDescent="0.25">
      <c r="A821" s="2">
        <v>820</v>
      </c>
      <c r="B821" s="2">
        <v>89494</v>
      </c>
      <c r="C821" t="s">
        <v>60</v>
      </c>
      <c r="D821" t="s">
        <v>52</v>
      </c>
      <c r="E821" t="s">
        <v>101</v>
      </c>
      <c r="F821" t="s">
        <v>80</v>
      </c>
      <c r="G821" t="s">
        <v>55</v>
      </c>
      <c r="H821" t="s">
        <v>23</v>
      </c>
      <c r="I821" t="s">
        <v>24</v>
      </c>
      <c r="J821" t="s">
        <v>25</v>
      </c>
      <c r="K821" s="6">
        <f t="shared" si="25"/>
        <v>0.6</v>
      </c>
      <c r="L821" t="s">
        <v>64</v>
      </c>
      <c r="M821">
        <f t="shared" si="24"/>
        <v>7</v>
      </c>
      <c r="N821" t="s">
        <v>40</v>
      </c>
      <c r="O821" t="s">
        <v>102</v>
      </c>
      <c r="P821" s="2">
        <v>808</v>
      </c>
      <c r="Q821" t="s">
        <v>29</v>
      </c>
      <c r="R821" t="s">
        <v>68</v>
      </c>
      <c r="S821" t="s">
        <v>50</v>
      </c>
      <c r="T821" t="s">
        <v>32</v>
      </c>
    </row>
    <row r="822" spans="1:20" x14ac:dyDescent="0.25">
      <c r="A822" s="2">
        <v>821</v>
      </c>
      <c r="B822" s="2">
        <v>10275</v>
      </c>
      <c r="C822" t="s">
        <v>51</v>
      </c>
      <c r="D822" t="s">
        <v>52</v>
      </c>
      <c r="E822" t="s">
        <v>44</v>
      </c>
      <c r="F822" t="s">
        <v>44</v>
      </c>
      <c r="G822" t="s">
        <v>22</v>
      </c>
      <c r="H822" t="s">
        <v>23</v>
      </c>
      <c r="I822" t="s">
        <v>56</v>
      </c>
      <c r="J822" t="s">
        <v>57</v>
      </c>
      <c r="K822" s="6">
        <f t="shared" si="25"/>
        <v>1.1000000000000001</v>
      </c>
      <c r="L822" t="s">
        <v>64</v>
      </c>
      <c r="M822">
        <f t="shared" si="24"/>
        <v>7</v>
      </c>
      <c r="N822" t="s">
        <v>104</v>
      </c>
      <c r="O822" t="s">
        <v>103</v>
      </c>
      <c r="P822" s="2">
        <v>597</v>
      </c>
      <c r="Q822" t="s">
        <v>74</v>
      </c>
      <c r="R822" t="s">
        <v>42</v>
      </c>
      <c r="S822" t="s">
        <v>69</v>
      </c>
      <c r="T822" t="s">
        <v>43</v>
      </c>
    </row>
    <row r="823" spans="1:20" x14ac:dyDescent="0.25">
      <c r="A823" s="2">
        <v>822</v>
      </c>
      <c r="B823" s="2">
        <v>37924</v>
      </c>
      <c r="C823" t="s">
        <v>96</v>
      </c>
      <c r="D823" t="s">
        <v>52</v>
      </c>
      <c r="E823" t="s">
        <v>87</v>
      </c>
      <c r="F823" t="s">
        <v>88</v>
      </c>
      <c r="G823" t="s">
        <v>36</v>
      </c>
      <c r="H823" t="s">
        <v>23</v>
      </c>
      <c r="I823" t="s">
        <v>47</v>
      </c>
      <c r="J823" t="s">
        <v>57</v>
      </c>
      <c r="K823" s="6">
        <f t="shared" si="25"/>
        <v>2.5</v>
      </c>
      <c r="L823" t="s">
        <v>64</v>
      </c>
      <c r="M823">
        <f t="shared" si="24"/>
        <v>7</v>
      </c>
      <c r="N823" t="s">
        <v>40</v>
      </c>
      <c r="O823" t="s">
        <v>82</v>
      </c>
      <c r="P823" s="2">
        <v>871</v>
      </c>
      <c r="Q823" t="s">
        <v>104</v>
      </c>
      <c r="R823" t="s">
        <v>75</v>
      </c>
      <c r="S823" t="s">
        <v>31</v>
      </c>
      <c r="T823" t="s">
        <v>59</v>
      </c>
    </row>
    <row r="824" spans="1:20" x14ac:dyDescent="0.25">
      <c r="A824" s="2">
        <v>823</v>
      </c>
      <c r="B824" s="2">
        <v>61654</v>
      </c>
      <c r="C824" t="s">
        <v>19</v>
      </c>
      <c r="D824" t="s">
        <v>66</v>
      </c>
      <c r="E824" t="s">
        <v>79</v>
      </c>
      <c r="F824" t="s">
        <v>80</v>
      </c>
      <c r="G824" t="s">
        <v>55</v>
      </c>
      <c r="H824" t="s">
        <v>23</v>
      </c>
      <c r="I824" t="s">
        <v>91</v>
      </c>
      <c r="J824" t="s">
        <v>57</v>
      </c>
      <c r="K824" s="6">
        <f t="shared" si="25"/>
        <v>2.2000000000000002</v>
      </c>
      <c r="L824" t="s">
        <v>64</v>
      </c>
      <c r="M824">
        <f t="shared" si="24"/>
        <v>7</v>
      </c>
      <c r="N824" t="s">
        <v>104</v>
      </c>
      <c r="O824" t="s">
        <v>102</v>
      </c>
      <c r="P824" s="2">
        <v>850</v>
      </c>
      <c r="Q824" t="s">
        <v>104</v>
      </c>
      <c r="R824" t="s">
        <v>75</v>
      </c>
      <c r="S824" t="s">
        <v>58</v>
      </c>
      <c r="T824" t="s">
        <v>43</v>
      </c>
    </row>
    <row r="825" spans="1:20" x14ac:dyDescent="0.25">
      <c r="A825" s="2">
        <v>824</v>
      </c>
      <c r="B825" s="2">
        <v>52822</v>
      </c>
      <c r="C825" t="s">
        <v>96</v>
      </c>
      <c r="D825" t="s">
        <v>52</v>
      </c>
      <c r="E825" t="s">
        <v>87</v>
      </c>
      <c r="F825" t="s">
        <v>88</v>
      </c>
      <c r="G825" t="s">
        <v>92</v>
      </c>
      <c r="H825" t="s">
        <v>46</v>
      </c>
      <c r="I825" t="s">
        <v>67</v>
      </c>
      <c r="J825" t="s">
        <v>57</v>
      </c>
      <c r="K825" s="6">
        <f t="shared" si="25"/>
        <v>0.55000000000000004</v>
      </c>
      <c r="L825" t="s">
        <v>64</v>
      </c>
      <c r="M825">
        <f t="shared" si="24"/>
        <v>7</v>
      </c>
      <c r="N825" t="s">
        <v>104</v>
      </c>
      <c r="O825" t="s">
        <v>103</v>
      </c>
      <c r="P825" s="2">
        <v>487</v>
      </c>
      <c r="Q825" t="s">
        <v>104</v>
      </c>
      <c r="R825" t="s">
        <v>68</v>
      </c>
      <c r="S825" t="s">
        <v>50</v>
      </c>
      <c r="T825" t="s">
        <v>59</v>
      </c>
    </row>
    <row r="826" spans="1:20" x14ac:dyDescent="0.25">
      <c r="A826" s="2">
        <v>825</v>
      </c>
      <c r="B826" s="2">
        <v>90150</v>
      </c>
      <c r="C826" t="s">
        <v>96</v>
      </c>
      <c r="D826" t="s">
        <v>52</v>
      </c>
      <c r="E826" t="s">
        <v>79</v>
      </c>
      <c r="F826" t="s">
        <v>80</v>
      </c>
      <c r="G826" t="s">
        <v>45</v>
      </c>
      <c r="H826" t="s">
        <v>73</v>
      </c>
      <c r="I826" t="s">
        <v>24</v>
      </c>
      <c r="J826" t="s">
        <v>25</v>
      </c>
      <c r="K826" s="6">
        <f t="shared" si="25"/>
        <v>0.6</v>
      </c>
      <c r="L826" t="s">
        <v>64</v>
      </c>
      <c r="M826">
        <f t="shared" si="24"/>
        <v>7</v>
      </c>
      <c r="N826" t="s">
        <v>104</v>
      </c>
      <c r="O826" t="s">
        <v>82</v>
      </c>
      <c r="P826" s="2">
        <v>1096</v>
      </c>
      <c r="Q826" t="s">
        <v>74</v>
      </c>
      <c r="R826" t="s">
        <v>68</v>
      </c>
      <c r="S826" t="s">
        <v>69</v>
      </c>
      <c r="T826" t="s">
        <v>43</v>
      </c>
    </row>
    <row r="827" spans="1:20" x14ac:dyDescent="0.25">
      <c r="A827" s="2">
        <v>826</v>
      </c>
      <c r="B827" s="2">
        <v>39413</v>
      </c>
      <c r="C827" t="s">
        <v>51</v>
      </c>
      <c r="D827" t="s">
        <v>66</v>
      </c>
      <c r="E827" t="s">
        <v>93</v>
      </c>
      <c r="F827" t="s">
        <v>62</v>
      </c>
      <c r="G827" t="s">
        <v>63</v>
      </c>
      <c r="H827" t="s">
        <v>71</v>
      </c>
      <c r="I827" t="s">
        <v>83</v>
      </c>
      <c r="J827" t="s">
        <v>25</v>
      </c>
      <c r="K827" s="6">
        <f t="shared" si="25"/>
        <v>2.2000000000000002</v>
      </c>
      <c r="L827" t="s">
        <v>64</v>
      </c>
      <c r="M827">
        <f t="shared" si="24"/>
        <v>7</v>
      </c>
      <c r="N827" t="s">
        <v>40</v>
      </c>
      <c r="O827" t="s">
        <v>28</v>
      </c>
      <c r="P827" s="2">
        <v>154</v>
      </c>
      <c r="Q827" t="s">
        <v>41</v>
      </c>
      <c r="R827" t="s">
        <v>30</v>
      </c>
      <c r="S827" t="s">
        <v>31</v>
      </c>
      <c r="T827" t="s">
        <v>43</v>
      </c>
    </row>
    <row r="828" spans="1:20" x14ac:dyDescent="0.25">
      <c r="A828" s="2">
        <v>827</v>
      </c>
      <c r="B828" s="2">
        <v>27305</v>
      </c>
      <c r="C828" t="s">
        <v>19</v>
      </c>
      <c r="D828" t="s">
        <v>52</v>
      </c>
      <c r="E828" t="s">
        <v>95</v>
      </c>
      <c r="F828" t="s">
        <v>21</v>
      </c>
      <c r="G828" t="s">
        <v>92</v>
      </c>
      <c r="H828" t="s">
        <v>23</v>
      </c>
      <c r="I828" t="s">
        <v>24</v>
      </c>
      <c r="J828" t="s">
        <v>25</v>
      </c>
      <c r="K828" s="6">
        <f t="shared" si="25"/>
        <v>2.4</v>
      </c>
      <c r="L828" t="s">
        <v>64</v>
      </c>
      <c r="M828">
        <f t="shared" si="24"/>
        <v>7</v>
      </c>
      <c r="N828" t="s">
        <v>40</v>
      </c>
      <c r="O828" t="s">
        <v>103</v>
      </c>
      <c r="P828" s="2">
        <v>683</v>
      </c>
      <c r="Q828" t="s">
        <v>74</v>
      </c>
      <c r="R828" t="s">
        <v>75</v>
      </c>
      <c r="S828" t="s">
        <v>31</v>
      </c>
      <c r="T828" t="s">
        <v>43</v>
      </c>
    </row>
    <row r="829" spans="1:20" x14ac:dyDescent="0.25">
      <c r="A829" s="2">
        <v>828</v>
      </c>
      <c r="B829" s="2">
        <v>17215</v>
      </c>
      <c r="C829" t="s">
        <v>51</v>
      </c>
      <c r="D829" t="s">
        <v>52</v>
      </c>
      <c r="E829" t="s">
        <v>93</v>
      </c>
      <c r="F829" t="s">
        <v>62</v>
      </c>
      <c r="G829" t="s">
        <v>92</v>
      </c>
      <c r="H829" t="s">
        <v>46</v>
      </c>
      <c r="I829" t="s">
        <v>38</v>
      </c>
      <c r="J829" t="s">
        <v>57</v>
      </c>
      <c r="K829" s="6">
        <f t="shared" si="25"/>
        <v>1</v>
      </c>
      <c r="L829" t="s">
        <v>49</v>
      </c>
      <c r="M829">
        <f t="shared" si="24"/>
        <v>3</v>
      </c>
      <c r="N829" t="s">
        <v>27</v>
      </c>
      <c r="O829" t="s">
        <v>65</v>
      </c>
      <c r="P829" s="2">
        <v>592</v>
      </c>
      <c r="Q829" t="s">
        <v>74</v>
      </c>
      <c r="R829" t="s">
        <v>42</v>
      </c>
      <c r="S829" t="s">
        <v>58</v>
      </c>
      <c r="T829" t="s">
        <v>43</v>
      </c>
    </row>
    <row r="830" spans="1:20" x14ac:dyDescent="0.25">
      <c r="A830" s="2">
        <v>829</v>
      </c>
      <c r="B830" s="2">
        <v>76196</v>
      </c>
      <c r="C830" t="s">
        <v>51</v>
      </c>
      <c r="D830" t="s">
        <v>66</v>
      </c>
      <c r="E830" t="s">
        <v>44</v>
      </c>
      <c r="F830" t="s">
        <v>44</v>
      </c>
      <c r="G830" t="s">
        <v>63</v>
      </c>
      <c r="H830" t="s">
        <v>23</v>
      </c>
      <c r="I830" t="s">
        <v>91</v>
      </c>
      <c r="J830" t="s">
        <v>57</v>
      </c>
      <c r="K830" s="6">
        <f t="shared" si="25"/>
        <v>2.2000000000000002</v>
      </c>
      <c r="L830" t="s">
        <v>49</v>
      </c>
      <c r="M830">
        <f t="shared" si="24"/>
        <v>3</v>
      </c>
      <c r="N830" t="s">
        <v>40</v>
      </c>
      <c r="O830" t="s">
        <v>102</v>
      </c>
      <c r="P830" s="2">
        <v>835</v>
      </c>
      <c r="Q830" t="s">
        <v>74</v>
      </c>
      <c r="R830" t="s">
        <v>30</v>
      </c>
      <c r="S830" t="s">
        <v>69</v>
      </c>
      <c r="T830" t="s">
        <v>43</v>
      </c>
    </row>
    <row r="831" spans="1:20" x14ac:dyDescent="0.25">
      <c r="A831" s="2">
        <v>830</v>
      </c>
      <c r="B831" s="2">
        <v>69357</v>
      </c>
      <c r="C831" t="s">
        <v>51</v>
      </c>
      <c r="D831" t="s">
        <v>66</v>
      </c>
      <c r="E831" t="s">
        <v>34</v>
      </c>
      <c r="F831" t="s">
        <v>35</v>
      </c>
      <c r="G831" t="s">
        <v>22</v>
      </c>
      <c r="H831" t="s">
        <v>46</v>
      </c>
      <c r="I831" t="s">
        <v>91</v>
      </c>
      <c r="J831" t="s">
        <v>48</v>
      </c>
      <c r="K831" s="6">
        <f t="shared" si="25"/>
        <v>2.2000000000000002</v>
      </c>
      <c r="L831" t="s">
        <v>64</v>
      </c>
      <c r="M831">
        <f t="shared" si="24"/>
        <v>7</v>
      </c>
      <c r="N831" t="s">
        <v>27</v>
      </c>
      <c r="O831" t="s">
        <v>102</v>
      </c>
      <c r="P831" s="2">
        <v>341</v>
      </c>
      <c r="Q831" t="s">
        <v>104</v>
      </c>
      <c r="R831" t="s">
        <v>30</v>
      </c>
      <c r="S831" t="s">
        <v>31</v>
      </c>
      <c r="T831" t="s">
        <v>43</v>
      </c>
    </row>
    <row r="832" spans="1:20" x14ac:dyDescent="0.25">
      <c r="A832" s="2">
        <v>831</v>
      </c>
      <c r="B832" s="2">
        <v>70445</v>
      </c>
      <c r="C832" t="s">
        <v>51</v>
      </c>
      <c r="D832" t="s">
        <v>52</v>
      </c>
      <c r="E832" t="s">
        <v>61</v>
      </c>
      <c r="F832" t="s">
        <v>62</v>
      </c>
      <c r="G832" t="s">
        <v>70</v>
      </c>
      <c r="H832" t="s">
        <v>23</v>
      </c>
      <c r="I832" t="s">
        <v>91</v>
      </c>
      <c r="J832" t="s">
        <v>57</v>
      </c>
      <c r="K832" s="6">
        <f t="shared" si="25"/>
        <v>0.55000000000000004</v>
      </c>
      <c r="L832" t="s">
        <v>64</v>
      </c>
      <c r="M832">
        <f t="shared" si="24"/>
        <v>7</v>
      </c>
      <c r="N832" t="s">
        <v>40</v>
      </c>
      <c r="O832" t="s">
        <v>103</v>
      </c>
      <c r="P832" s="2">
        <v>743</v>
      </c>
      <c r="Q832" t="s">
        <v>74</v>
      </c>
      <c r="R832" t="s">
        <v>68</v>
      </c>
      <c r="S832" t="s">
        <v>58</v>
      </c>
      <c r="T832" t="s">
        <v>59</v>
      </c>
    </row>
    <row r="833" spans="1:20" x14ac:dyDescent="0.25">
      <c r="A833" s="2">
        <v>832</v>
      </c>
      <c r="B833" s="2">
        <v>50341</v>
      </c>
      <c r="C833" t="s">
        <v>51</v>
      </c>
      <c r="D833" t="s">
        <v>52</v>
      </c>
      <c r="E833" t="s">
        <v>61</v>
      </c>
      <c r="F833" t="s">
        <v>62</v>
      </c>
      <c r="G833" t="s">
        <v>36</v>
      </c>
      <c r="H833" t="s">
        <v>23</v>
      </c>
      <c r="I833" t="s">
        <v>91</v>
      </c>
      <c r="J833" t="s">
        <v>57</v>
      </c>
      <c r="K833" s="6">
        <f t="shared" si="25"/>
        <v>1.1000000000000001</v>
      </c>
      <c r="L833" t="s">
        <v>64</v>
      </c>
      <c r="M833">
        <f t="shared" si="24"/>
        <v>7</v>
      </c>
      <c r="N833" t="s">
        <v>104</v>
      </c>
      <c r="O833" t="s">
        <v>103</v>
      </c>
      <c r="P833" s="2">
        <v>441</v>
      </c>
      <c r="Q833" t="s">
        <v>41</v>
      </c>
      <c r="R833" t="s">
        <v>42</v>
      </c>
      <c r="S833" t="s">
        <v>50</v>
      </c>
      <c r="T833" t="s">
        <v>59</v>
      </c>
    </row>
    <row r="834" spans="1:20" x14ac:dyDescent="0.25">
      <c r="A834" s="2">
        <v>833</v>
      </c>
      <c r="B834" s="2">
        <v>28253</v>
      </c>
      <c r="C834" t="s">
        <v>96</v>
      </c>
      <c r="D834" t="s">
        <v>66</v>
      </c>
      <c r="E834" t="s">
        <v>79</v>
      </c>
      <c r="F834" t="s">
        <v>80</v>
      </c>
      <c r="G834" t="s">
        <v>98</v>
      </c>
      <c r="H834" t="s">
        <v>46</v>
      </c>
      <c r="I834" t="s">
        <v>67</v>
      </c>
      <c r="J834" t="s">
        <v>57</v>
      </c>
      <c r="K834" s="6">
        <f t="shared" si="25"/>
        <v>2.2000000000000002</v>
      </c>
      <c r="L834" t="s">
        <v>64</v>
      </c>
      <c r="M834">
        <f t="shared" ref="M834:M897" si="26">IF(L834="daily",7,IF(L834="weekly",3,1))</f>
        <v>7</v>
      </c>
      <c r="N834" t="s">
        <v>40</v>
      </c>
      <c r="O834" t="s">
        <v>28</v>
      </c>
      <c r="P834" s="2">
        <v>475</v>
      </c>
      <c r="Q834" t="s">
        <v>104</v>
      </c>
      <c r="R834" t="s">
        <v>75</v>
      </c>
      <c r="S834" t="s">
        <v>50</v>
      </c>
      <c r="T834" t="s">
        <v>43</v>
      </c>
    </row>
    <row r="835" spans="1:20" x14ac:dyDescent="0.25">
      <c r="A835" s="2">
        <v>834</v>
      </c>
      <c r="B835" s="2">
        <v>75387</v>
      </c>
      <c r="C835" t="s">
        <v>60</v>
      </c>
      <c r="D835" t="s">
        <v>66</v>
      </c>
      <c r="E835" t="s">
        <v>53</v>
      </c>
      <c r="F835" t="s">
        <v>54</v>
      </c>
      <c r="G835" t="s">
        <v>45</v>
      </c>
      <c r="H835" t="s">
        <v>23</v>
      </c>
      <c r="I835" t="s">
        <v>94</v>
      </c>
      <c r="J835" t="s">
        <v>57</v>
      </c>
      <c r="K835" s="6">
        <f t="shared" ref="K835:K898" si="27">IF(R835="Morning",2,IF(R835="Night",2,IF(R835="Evening",1,0.5)))
*
IF(I835="Espresso",0.75,IF(I835="Cold Brew",1.25,IF(I835="Filter Coffee",1.2,IF(I835="Instant Coffee",1,1.1))))</f>
        <v>0.75</v>
      </c>
      <c r="L835" t="s">
        <v>64</v>
      </c>
      <c r="M835">
        <f t="shared" si="26"/>
        <v>7</v>
      </c>
      <c r="N835" t="s">
        <v>27</v>
      </c>
      <c r="O835" t="s">
        <v>103</v>
      </c>
      <c r="P835" s="2">
        <v>491</v>
      </c>
      <c r="Q835" t="s">
        <v>104</v>
      </c>
      <c r="R835" t="s">
        <v>42</v>
      </c>
      <c r="S835" t="s">
        <v>69</v>
      </c>
      <c r="T835" t="s">
        <v>59</v>
      </c>
    </row>
    <row r="836" spans="1:20" x14ac:dyDescent="0.25">
      <c r="A836" s="2">
        <v>835</v>
      </c>
      <c r="B836" s="2">
        <v>55811</v>
      </c>
      <c r="C836" t="s">
        <v>51</v>
      </c>
      <c r="D836" t="s">
        <v>66</v>
      </c>
      <c r="E836" t="s">
        <v>101</v>
      </c>
      <c r="F836" t="s">
        <v>80</v>
      </c>
      <c r="G836" t="s">
        <v>45</v>
      </c>
      <c r="H836" t="s">
        <v>46</v>
      </c>
      <c r="I836" t="s">
        <v>67</v>
      </c>
      <c r="J836" t="s">
        <v>86</v>
      </c>
      <c r="K836" s="6">
        <f t="shared" si="27"/>
        <v>2.2000000000000002</v>
      </c>
      <c r="L836" t="s">
        <v>64</v>
      </c>
      <c r="M836">
        <f t="shared" si="26"/>
        <v>7</v>
      </c>
      <c r="N836" t="s">
        <v>104</v>
      </c>
      <c r="O836" t="s">
        <v>103</v>
      </c>
      <c r="P836" s="2">
        <v>408</v>
      </c>
      <c r="Q836" t="s">
        <v>41</v>
      </c>
      <c r="R836" t="s">
        <v>75</v>
      </c>
      <c r="S836" t="s">
        <v>58</v>
      </c>
      <c r="T836" t="s">
        <v>32</v>
      </c>
    </row>
    <row r="837" spans="1:20" x14ac:dyDescent="0.25">
      <c r="A837" s="2">
        <v>836</v>
      </c>
      <c r="B837" s="2">
        <v>36940</v>
      </c>
      <c r="C837" t="s">
        <v>19</v>
      </c>
      <c r="D837" t="s">
        <v>52</v>
      </c>
      <c r="E837" t="s">
        <v>99</v>
      </c>
      <c r="F837" t="s">
        <v>100</v>
      </c>
      <c r="G837" t="s">
        <v>70</v>
      </c>
      <c r="H837" t="s">
        <v>23</v>
      </c>
      <c r="I837" t="s">
        <v>91</v>
      </c>
      <c r="J837" t="s">
        <v>57</v>
      </c>
      <c r="K837" s="6">
        <f t="shared" si="27"/>
        <v>1.1000000000000001</v>
      </c>
      <c r="L837" t="s">
        <v>49</v>
      </c>
      <c r="M837">
        <f t="shared" si="26"/>
        <v>3</v>
      </c>
      <c r="N837" t="s">
        <v>27</v>
      </c>
      <c r="O837" t="s">
        <v>28</v>
      </c>
      <c r="P837" s="2">
        <v>479</v>
      </c>
      <c r="Q837" t="s">
        <v>104</v>
      </c>
      <c r="R837" t="s">
        <v>42</v>
      </c>
      <c r="S837" t="s">
        <v>31</v>
      </c>
      <c r="T837" t="s">
        <v>32</v>
      </c>
    </row>
    <row r="838" spans="1:20" x14ac:dyDescent="0.25">
      <c r="A838" s="2">
        <v>837</v>
      </c>
      <c r="B838" s="2">
        <v>99151</v>
      </c>
      <c r="C838" t="s">
        <v>51</v>
      </c>
      <c r="D838" t="s">
        <v>66</v>
      </c>
      <c r="E838" t="s">
        <v>79</v>
      </c>
      <c r="F838" t="s">
        <v>80</v>
      </c>
      <c r="G838" t="s">
        <v>70</v>
      </c>
      <c r="H838" t="s">
        <v>23</v>
      </c>
      <c r="I838" t="s">
        <v>24</v>
      </c>
      <c r="J838" t="s">
        <v>25</v>
      </c>
      <c r="K838" s="6">
        <f t="shared" si="27"/>
        <v>2.4</v>
      </c>
      <c r="L838" t="s">
        <v>64</v>
      </c>
      <c r="M838">
        <f t="shared" si="26"/>
        <v>7</v>
      </c>
      <c r="N838" t="s">
        <v>27</v>
      </c>
      <c r="O838" t="s">
        <v>103</v>
      </c>
      <c r="P838" s="2">
        <v>838</v>
      </c>
      <c r="Q838" t="s">
        <v>29</v>
      </c>
      <c r="R838" t="s">
        <v>75</v>
      </c>
      <c r="S838" t="s">
        <v>31</v>
      </c>
      <c r="T838" t="s">
        <v>43</v>
      </c>
    </row>
    <row r="839" spans="1:20" x14ac:dyDescent="0.25">
      <c r="A839" s="2">
        <v>838</v>
      </c>
      <c r="B839" s="2">
        <v>38802</v>
      </c>
      <c r="C839" t="s">
        <v>51</v>
      </c>
      <c r="D839" t="s">
        <v>66</v>
      </c>
      <c r="E839" t="s">
        <v>93</v>
      </c>
      <c r="F839" t="s">
        <v>62</v>
      </c>
      <c r="G839" t="s">
        <v>63</v>
      </c>
      <c r="H839" t="s">
        <v>46</v>
      </c>
      <c r="I839" t="s">
        <v>91</v>
      </c>
      <c r="J839" t="s">
        <v>25</v>
      </c>
      <c r="K839" s="6">
        <f t="shared" si="27"/>
        <v>2.2000000000000002</v>
      </c>
      <c r="L839" t="s">
        <v>49</v>
      </c>
      <c r="M839">
        <f t="shared" si="26"/>
        <v>3</v>
      </c>
      <c r="N839" t="s">
        <v>104</v>
      </c>
      <c r="O839" t="s">
        <v>28</v>
      </c>
      <c r="P839" s="2">
        <v>326</v>
      </c>
      <c r="Q839" t="s">
        <v>104</v>
      </c>
      <c r="R839" t="s">
        <v>30</v>
      </c>
      <c r="S839" t="s">
        <v>69</v>
      </c>
      <c r="T839" t="s">
        <v>43</v>
      </c>
    </row>
    <row r="840" spans="1:20" x14ac:dyDescent="0.25">
      <c r="A840" s="2">
        <v>839</v>
      </c>
      <c r="B840" s="2">
        <v>79205</v>
      </c>
      <c r="C840" t="s">
        <v>51</v>
      </c>
      <c r="D840" t="s">
        <v>66</v>
      </c>
      <c r="E840" t="s">
        <v>76</v>
      </c>
      <c r="F840" t="s">
        <v>77</v>
      </c>
      <c r="G840" t="s">
        <v>45</v>
      </c>
      <c r="H840" t="s">
        <v>23</v>
      </c>
      <c r="I840" t="s">
        <v>83</v>
      </c>
      <c r="J840" t="s">
        <v>57</v>
      </c>
      <c r="K840" s="6">
        <f t="shared" si="27"/>
        <v>2.2000000000000002</v>
      </c>
      <c r="L840" t="s">
        <v>49</v>
      </c>
      <c r="M840">
        <f t="shared" si="26"/>
        <v>3</v>
      </c>
      <c r="N840" t="s">
        <v>40</v>
      </c>
      <c r="O840" t="s">
        <v>82</v>
      </c>
      <c r="P840" s="2">
        <v>872</v>
      </c>
      <c r="Q840" t="s">
        <v>104</v>
      </c>
      <c r="R840" t="s">
        <v>30</v>
      </c>
      <c r="S840" t="s">
        <v>58</v>
      </c>
      <c r="T840" t="s">
        <v>43</v>
      </c>
    </row>
    <row r="841" spans="1:20" x14ac:dyDescent="0.25">
      <c r="A841" s="2">
        <v>840</v>
      </c>
      <c r="B841" s="2">
        <v>61939</v>
      </c>
      <c r="C841" t="s">
        <v>96</v>
      </c>
      <c r="D841" t="s">
        <v>66</v>
      </c>
      <c r="E841" t="s">
        <v>79</v>
      </c>
      <c r="F841" t="s">
        <v>80</v>
      </c>
      <c r="G841" t="s">
        <v>63</v>
      </c>
      <c r="H841" t="s">
        <v>73</v>
      </c>
      <c r="I841" t="s">
        <v>91</v>
      </c>
      <c r="J841" t="s">
        <v>57</v>
      </c>
      <c r="K841" s="6">
        <f t="shared" si="27"/>
        <v>2.2000000000000002</v>
      </c>
      <c r="L841" t="s">
        <v>64</v>
      </c>
      <c r="M841">
        <f t="shared" si="26"/>
        <v>7</v>
      </c>
      <c r="N841" t="s">
        <v>27</v>
      </c>
      <c r="O841" t="s">
        <v>65</v>
      </c>
      <c r="P841" s="2">
        <v>1279</v>
      </c>
      <c r="Q841" t="s">
        <v>29</v>
      </c>
      <c r="R841" t="s">
        <v>30</v>
      </c>
      <c r="S841" t="s">
        <v>50</v>
      </c>
      <c r="T841" t="s">
        <v>43</v>
      </c>
    </row>
    <row r="842" spans="1:20" x14ac:dyDescent="0.25">
      <c r="A842" s="2">
        <v>841</v>
      </c>
      <c r="B842" s="2">
        <v>11219</v>
      </c>
      <c r="C842" t="s">
        <v>51</v>
      </c>
      <c r="D842" t="s">
        <v>66</v>
      </c>
      <c r="E842" t="s">
        <v>87</v>
      </c>
      <c r="F842" t="s">
        <v>88</v>
      </c>
      <c r="G842" t="s">
        <v>45</v>
      </c>
      <c r="H842" t="s">
        <v>37</v>
      </c>
      <c r="I842" t="s">
        <v>24</v>
      </c>
      <c r="J842" t="s">
        <v>25</v>
      </c>
      <c r="K842" s="6">
        <f t="shared" si="27"/>
        <v>2.4</v>
      </c>
      <c r="L842" t="s">
        <v>49</v>
      </c>
      <c r="M842">
        <f t="shared" si="26"/>
        <v>3</v>
      </c>
      <c r="N842" t="s">
        <v>27</v>
      </c>
      <c r="O842" t="s">
        <v>103</v>
      </c>
      <c r="P842" s="2">
        <v>2420</v>
      </c>
      <c r="Q842" t="s">
        <v>104</v>
      </c>
      <c r="R842" t="s">
        <v>30</v>
      </c>
      <c r="S842" t="s">
        <v>69</v>
      </c>
      <c r="T842" t="s">
        <v>59</v>
      </c>
    </row>
    <row r="843" spans="1:20" x14ac:dyDescent="0.25">
      <c r="A843" s="2">
        <v>842</v>
      </c>
      <c r="B843" s="2">
        <v>68581</v>
      </c>
      <c r="C843" t="s">
        <v>19</v>
      </c>
      <c r="D843" t="s">
        <v>52</v>
      </c>
      <c r="E843" t="s">
        <v>89</v>
      </c>
      <c r="F843" t="s">
        <v>90</v>
      </c>
      <c r="G843" t="s">
        <v>22</v>
      </c>
      <c r="H843" t="s">
        <v>73</v>
      </c>
      <c r="I843" t="s">
        <v>38</v>
      </c>
      <c r="J843" t="s">
        <v>25</v>
      </c>
      <c r="K843" s="6">
        <f t="shared" si="27"/>
        <v>2</v>
      </c>
      <c r="L843" t="s">
        <v>26</v>
      </c>
      <c r="M843">
        <f t="shared" si="26"/>
        <v>1</v>
      </c>
      <c r="N843" t="s">
        <v>27</v>
      </c>
      <c r="O843" t="s">
        <v>28</v>
      </c>
      <c r="P843" s="2">
        <v>1177</v>
      </c>
      <c r="Q843" t="s">
        <v>41</v>
      </c>
      <c r="R843" t="s">
        <v>30</v>
      </c>
      <c r="S843" t="s">
        <v>50</v>
      </c>
      <c r="T843" t="s">
        <v>59</v>
      </c>
    </row>
    <row r="844" spans="1:20" x14ac:dyDescent="0.25">
      <c r="A844" s="2">
        <v>843</v>
      </c>
      <c r="B844" s="2">
        <v>86587</v>
      </c>
      <c r="C844" t="s">
        <v>33</v>
      </c>
      <c r="D844" t="s">
        <v>52</v>
      </c>
      <c r="E844" t="s">
        <v>84</v>
      </c>
      <c r="F844" t="s">
        <v>85</v>
      </c>
      <c r="G844" t="s">
        <v>70</v>
      </c>
      <c r="H844" t="s">
        <v>37</v>
      </c>
      <c r="I844" t="s">
        <v>47</v>
      </c>
      <c r="J844" t="s">
        <v>48</v>
      </c>
      <c r="K844" s="6">
        <f t="shared" si="27"/>
        <v>0.625</v>
      </c>
      <c r="L844" t="s">
        <v>49</v>
      </c>
      <c r="M844">
        <f t="shared" si="26"/>
        <v>3</v>
      </c>
      <c r="N844" t="s">
        <v>40</v>
      </c>
      <c r="O844" t="s">
        <v>82</v>
      </c>
      <c r="P844" s="2">
        <v>1309</v>
      </c>
      <c r="Q844" t="s">
        <v>41</v>
      </c>
      <c r="R844" t="s">
        <v>68</v>
      </c>
      <c r="S844" t="s">
        <v>58</v>
      </c>
      <c r="T844" t="s">
        <v>32</v>
      </c>
    </row>
    <row r="845" spans="1:20" x14ac:dyDescent="0.25">
      <c r="A845" s="2">
        <v>844</v>
      </c>
      <c r="B845" s="2">
        <v>89126</v>
      </c>
      <c r="C845" t="s">
        <v>19</v>
      </c>
      <c r="D845" t="s">
        <v>52</v>
      </c>
      <c r="E845" t="s">
        <v>95</v>
      </c>
      <c r="F845" t="s">
        <v>21</v>
      </c>
      <c r="G845" t="s">
        <v>36</v>
      </c>
      <c r="H845" t="s">
        <v>71</v>
      </c>
      <c r="I845" t="s">
        <v>38</v>
      </c>
      <c r="J845" t="s">
        <v>39</v>
      </c>
      <c r="K845" s="6">
        <f t="shared" si="27"/>
        <v>1</v>
      </c>
      <c r="L845" t="s">
        <v>49</v>
      </c>
      <c r="M845">
        <f t="shared" si="26"/>
        <v>3</v>
      </c>
      <c r="N845" t="s">
        <v>40</v>
      </c>
      <c r="O845" t="s">
        <v>103</v>
      </c>
      <c r="P845" s="2">
        <v>344</v>
      </c>
      <c r="Q845" t="s">
        <v>74</v>
      </c>
      <c r="R845" t="s">
        <v>42</v>
      </c>
      <c r="S845" t="s">
        <v>50</v>
      </c>
      <c r="T845" t="s">
        <v>43</v>
      </c>
    </row>
    <row r="846" spans="1:20" x14ac:dyDescent="0.25">
      <c r="A846" s="2">
        <v>845</v>
      </c>
      <c r="B846" s="2">
        <v>40025</v>
      </c>
      <c r="C846" t="s">
        <v>19</v>
      </c>
      <c r="D846" t="s">
        <v>52</v>
      </c>
      <c r="E846" t="s">
        <v>84</v>
      </c>
      <c r="F846" t="s">
        <v>85</v>
      </c>
      <c r="G846" t="s">
        <v>22</v>
      </c>
      <c r="H846" t="s">
        <v>46</v>
      </c>
      <c r="I846" t="s">
        <v>83</v>
      </c>
      <c r="J846" t="s">
        <v>86</v>
      </c>
      <c r="K846" s="6">
        <f t="shared" si="27"/>
        <v>1.1000000000000001</v>
      </c>
      <c r="L846" t="s">
        <v>64</v>
      </c>
      <c r="M846">
        <f t="shared" si="26"/>
        <v>7</v>
      </c>
      <c r="N846" t="s">
        <v>27</v>
      </c>
      <c r="O846" t="s">
        <v>72</v>
      </c>
      <c r="P846" s="2">
        <v>553</v>
      </c>
      <c r="Q846" t="s">
        <v>29</v>
      </c>
      <c r="R846" t="s">
        <v>42</v>
      </c>
      <c r="S846" t="s">
        <v>58</v>
      </c>
      <c r="T846" t="s">
        <v>32</v>
      </c>
    </row>
    <row r="847" spans="1:20" x14ac:dyDescent="0.25">
      <c r="A847" s="2">
        <v>846</v>
      </c>
      <c r="B847" s="2">
        <v>11718</v>
      </c>
      <c r="C847" t="s">
        <v>51</v>
      </c>
      <c r="D847" t="s">
        <v>52</v>
      </c>
      <c r="E847" t="s">
        <v>97</v>
      </c>
      <c r="F847" t="s">
        <v>62</v>
      </c>
      <c r="G847" t="s">
        <v>63</v>
      </c>
      <c r="H847" t="s">
        <v>23</v>
      </c>
      <c r="I847" t="s">
        <v>91</v>
      </c>
      <c r="J847" t="s">
        <v>57</v>
      </c>
      <c r="K847" s="6">
        <f t="shared" si="27"/>
        <v>2.2000000000000002</v>
      </c>
      <c r="L847" t="s">
        <v>49</v>
      </c>
      <c r="M847">
        <f t="shared" si="26"/>
        <v>3</v>
      </c>
      <c r="N847" t="s">
        <v>40</v>
      </c>
      <c r="O847" t="s">
        <v>28</v>
      </c>
      <c r="P847" s="2">
        <v>446</v>
      </c>
      <c r="Q847" t="s">
        <v>41</v>
      </c>
      <c r="R847" t="s">
        <v>75</v>
      </c>
      <c r="S847" t="s">
        <v>58</v>
      </c>
      <c r="T847" t="s">
        <v>59</v>
      </c>
    </row>
    <row r="848" spans="1:20" x14ac:dyDescent="0.25">
      <c r="A848" s="2">
        <v>847</v>
      </c>
      <c r="B848" s="2">
        <v>94831</v>
      </c>
      <c r="C848" t="s">
        <v>33</v>
      </c>
      <c r="D848" t="s">
        <v>52</v>
      </c>
      <c r="E848" t="s">
        <v>79</v>
      </c>
      <c r="F848" t="s">
        <v>80</v>
      </c>
      <c r="G848" t="s">
        <v>45</v>
      </c>
      <c r="H848" t="s">
        <v>23</v>
      </c>
      <c r="I848" t="s">
        <v>91</v>
      </c>
      <c r="J848" t="s">
        <v>86</v>
      </c>
      <c r="K848" s="6">
        <f t="shared" si="27"/>
        <v>2.2000000000000002</v>
      </c>
      <c r="L848" t="s">
        <v>26</v>
      </c>
      <c r="M848">
        <f t="shared" si="26"/>
        <v>1</v>
      </c>
      <c r="N848" t="s">
        <v>27</v>
      </c>
      <c r="O848" t="s">
        <v>103</v>
      </c>
      <c r="P848" s="2">
        <v>852</v>
      </c>
      <c r="Q848" t="s">
        <v>41</v>
      </c>
      <c r="R848" t="s">
        <v>75</v>
      </c>
      <c r="S848" t="s">
        <v>58</v>
      </c>
      <c r="T848" t="s">
        <v>43</v>
      </c>
    </row>
    <row r="849" spans="1:20" x14ac:dyDescent="0.25">
      <c r="A849" s="2">
        <v>848</v>
      </c>
      <c r="B849" s="2">
        <v>21835</v>
      </c>
      <c r="C849" t="s">
        <v>60</v>
      </c>
      <c r="D849" t="s">
        <v>66</v>
      </c>
      <c r="E849" t="s">
        <v>53</v>
      </c>
      <c r="F849" t="s">
        <v>54</v>
      </c>
      <c r="G849" t="s">
        <v>81</v>
      </c>
      <c r="H849" t="s">
        <v>23</v>
      </c>
      <c r="I849" t="s">
        <v>24</v>
      </c>
      <c r="J849" t="s">
        <v>25</v>
      </c>
      <c r="K849" s="6">
        <f t="shared" si="27"/>
        <v>2.4</v>
      </c>
      <c r="L849" t="s">
        <v>64</v>
      </c>
      <c r="M849">
        <f t="shared" si="26"/>
        <v>7</v>
      </c>
      <c r="N849" t="s">
        <v>40</v>
      </c>
      <c r="O849" t="s">
        <v>72</v>
      </c>
      <c r="P849" s="2">
        <v>496</v>
      </c>
      <c r="Q849" t="s">
        <v>29</v>
      </c>
      <c r="R849" t="s">
        <v>30</v>
      </c>
      <c r="S849" t="s">
        <v>69</v>
      </c>
      <c r="T849" t="s">
        <v>59</v>
      </c>
    </row>
    <row r="850" spans="1:20" x14ac:dyDescent="0.25">
      <c r="A850" s="2">
        <v>849</v>
      </c>
      <c r="B850" s="2">
        <v>10153</v>
      </c>
      <c r="C850" t="s">
        <v>33</v>
      </c>
      <c r="D850" t="s">
        <v>66</v>
      </c>
      <c r="E850" t="s">
        <v>61</v>
      </c>
      <c r="F850" t="s">
        <v>62</v>
      </c>
      <c r="G850" t="s">
        <v>81</v>
      </c>
      <c r="H850" t="s">
        <v>23</v>
      </c>
      <c r="I850" t="s">
        <v>83</v>
      </c>
      <c r="J850" t="s">
        <v>57</v>
      </c>
      <c r="K850" s="6">
        <f t="shared" si="27"/>
        <v>1.1000000000000001</v>
      </c>
      <c r="L850" t="s">
        <v>64</v>
      </c>
      <c r="M850">
        <f t="shared" si="26"/>
        <v>7</v>
      </c>
      <c r="N850" t="s">
        <v>40</v>
      </c>
      <c r="O850" t="s">
        <v>103</v>
      </c>
      <c r="P850" s="2">
        <v>720</v>
      </c>
      <c r="Q850" t="s">
        <v>104</v>
      </c>
      <c r="R850" t="s">
        <v>42</v>
      </c>
      <c r="S850" t="s">
        <v>31</v>
      </c>
      <c r="T850" t="s">
        <v>59</v>
      </c>
    </row>
    <row r="851" spans="1:20" x14ac:dyDescent="0.25">
      <c r="A851" s="2">
        <v>850</v>
      </c>
      <c r="B851" s="2">
        <v>39600</v>
      </c>
      <c r="C851" t="s">
        <v>51</v>
      </c>
      <c r="D851" t="s">
        <v>52</v>
      </c>
      <c r="E851" t="s">
        <v>84</v>
      </c>
      <c r="F851" t="s">
        <v>85</v>
      </c>
      <c r="G851" t="s">
        <v>92</v>
      </c>
      <c r="H851" t="s">
        <v>46</v>
      </c>
      <c r="I851" t="s">
        <v>94</v>
      </c>
      <c r="J851" t="s">
        <v>57</v>
      </c>
      <c r="K851" s="6">
        <f t="shared" si="27"/>
        <v>0.75</v>
      </c>
      <c r="L851" t="s">
        <v>64</v>
      </c>
      <c r="M851">
        <f t="shared" si="26"/>
        <v>7</v>
      </c>
      <c r="N851" t="s">
        <v>104</v>
      </c>
      <c r="O851" t="s">
        <v>103</v>
      </c>
      <c r="P851" s="2">
        <v>455</v>
      </c>
      <c r="Q851" t="s">
        <v>29</v>
      </c>
      <c r="R851" t="s">
        <v>42</v>
      </c>
      <c r="S851" t="s">
        <v>50</v>
      </c>
      <c r="T851" t="s">
        <v>32</v>
      </c>
    </row>
    <row r="852" spans="1:20" x14ac:dyDescent="0.25">
      <c r="A852" s="2">
        <v>851</v>
      </c>
      <c r="B852" s="2">
        <v>95559</v>
      </c>
      <c r="C852" t="s">
        <v>96</v>
      </c>
      <c r="D852" t="s">
        <v>52</v>
      </c>
      <c r="E852" t="s">
        <v>34</v>
      </c>
      <c r="F852" t="s">
        <v>35</v>
      </c>
      <c r="G852" t="s">
        <v>92</v>
      </c>
      <c r="H852" t="s">
        <v>71</v>
      </c>
      <c r="I852" t="s">
        <v>94</v>
      </c>
      <c r="J852" t="s">
        <v>57</v>
      </c>
      <c r="K852" s="6">
        <f t="shared" si="27"/>
        <v>1.5</v>
      </c>
      <c r="L852" t="s">
        <v>64</v>
      </c>
      <c r="M852">
        <f t="shared" si="26"/>
        <v>7</v>
      </c>
      <c r="N852" t="s">
        <v>104</v>
      </c>
      <c r="O852" t="s">
        <v>28</v>
      </c>
      <c r="P852" s="2">
        <v>193</v>
      </c>
      <c r="Q852" t="s">
        <v>104</v>
      </c>
      <c r="R852" t="s">
        <v>75</v>
      </c>
      <c r="S852" t="s">
        <v>50</v>
      </c>
      <c r="T852" t="s">
        <v>43</v>
      </c>
    </row>
    <row r="853" spans="1:20" x14ac:dyDescent="0.25">
      <c r="A853" s="2">
        <v>852</v>
      </c>
      <c r="B853" s="2">
        <v>17485</v>
      </c>
      <c r="C853" t="s">
        <v>96</v>
      </c>
      <c r="D853" t="s">
        <v>52</v>
      </c>
      <c r="E853" t="s">
        <v>61</v>
      </c>
      <c r="F853" t="s">
        <v>62</v>
      </c>
      <c r="G853" t="s">
        <v>55</v>
      </c>
      <c r="H853" t="s">
        <v>23</v>
      </c>
      <c r="I853" t="s">
        <v>47</v>
      </c>
      <c r="J853" t="s">
        <v>39</v>
      </c>
      <c r="K853" s="6">
        <f t="shared" si="27"/>
        <v>2.5</v>
      </c>
      <c r="L853" t="s">
        <v>64</v>
      </c>
      <c r="M853">
        <f t="shared" si="26"/>
        <v>7</v>
      </c>
      <c r="N853" t="s">
        <v>40</v>
      </c>
      <c r="O853" t="s">
        <v>28</v>
      </c>
      <c r="P853" s="2">
        <v>706</v>
      </c>
      <c r="Q853" t="s">
        <v>29</v>
      </c>
      <c r="R853" t="s">
        <v>75</v>
      </c>
      <c r="S853" t="s">
        <v>50</v>
      </c>
      <c r="T853" t="s">
        <v>59</v>
      </c>
    </row>
    <row r="854" spans="1:20" x14ac:dyDescent="0.25">
      <c r="A854" s="2">
        <v>853</v>
      </c>
      <c r="B854" s="2">
        <v>20522</v>
      </c>
      <c r="C854" t="s">
        <v>33</v>
      </c>
      <c r="D854" t="s">
        <v>66</v>
      </c>
      <c r="E854" t="s">
        <v>76</v>
      </c>
      <c r="F854" t="s">
        <v>77</v>
      </c>
      <c r="G854" t="s">
        <v>55</v>
      </c>
      <c r="H854" t="s">
        <v>46</v>
      </c>
      <c r="I854" t="s">
        <v>47</v>
      </c>
      <c r="J854" t="s">
        <v>57</v>
      </c>
      <c r="K854" s="6">
        <f t="shared" si="27"/>
        <v>2.5</v>
      </c>
      <c r="L854" t="s">
        <v>49</v>
      </c>
      <c r="M854">
        <f t="shared" si="26"/>
        <v>3</v>
      </c>
      <c r="N854" t="s">
        <v>40</v>
      </c>
      <c r="O854" t="s">
        <v>65</v>
      </c>
      <c r="P854" s="2">
        <v>416</v>
      </c>
      <c r="Q854" t="s">
        <v>41</v>
      </c>
      <c r="R854" t="s">
        <v>75</v>
      </c>
      <c r="S854" t="s">
        <v>58</v>
      </c>
      <c r="T854" t="s">
        <v>43</v>
      </c>
    </row>
    <row r="855" spans="1:20" x14ac:dyDescent="0.25">
      <c r="A855" s="2">
        <v>854</v>
      </c>
      <c r="B855" s="2">
        <v>77072</v>
      </c>
      <c r="C855" t="s">
        <v>33</v>
      </c>
      <c r="D855" t="s">
        <v>52</v>
      </c>
      <c r="E855" t="s">
        <v>87</v>
      </c>
      <c r="F855" t="s">
        <v>88</v>
      </c>
      <c r="G855" t="s">
        <v>81</v>
      </c>
      <c r="H855" t="s">
        <v>46</v>
      </c>
      <c r="I855" t="s">
        <v>24</v>
      </c>
      <c r="J855" t="s">
        <v>25</v>
      </c>
      <c r="K855" s="6">
        <f t="shared" si="27"/>
        <v>2.4</v>
      </c>
      <c r="L855" t="s">
        <v>49</v>
      </c>
      <c r="M855">
        <f t="shared" si="26"/>
        <v>3</v>
      </c>
      <c r="N855" t="s">
        <v>27</v>
      </c>
      <c r="O855" t="s">
        <v>103</v>
      </c>
      <c r="P855" s="2">
        <v>313</v>
      </c>
      <c r="Q855" t="s">
        <v>41</v>
      </c>
      <c r="R855" t="s">
        <v>30</v>
      </c>
      <c r="S855" t="s">
        <v>58</v>
      </c>
      <c r="T855" t="s">
        <v>59</v>
      </c>
    </row>
    <row r="856" spans="1:20" x14ac:dyDescent="0.25">
      <c r="A856" s="2">
        <v>855</v>
      </c>
      <c r="B856" s="2">
        <v>39200</v>
      </c>
      <c r="C856" t="s">
        <v>51</v>
      </c>
      <c r="D856" t="s">
        <v>52</v>
      </c>
      <c r="E856" t="s">
        <v>89</v>
      </c>
      <c r="F856" t="s">
        <v>90</v>
      </c>
      <c r="G856" t="s">
        <v>36</v>
      </c>
      <c r="H856" t="s">
        <v>46</v>
      </c>
      <c r="I856" t="s">
        <v>47</v>
      </c>
      <c r="J856" t="s">
        <v>48</v>
      </c>
      <c r="K856" s="6">
        <f t="shared" si="27"/>
        <v>1.25</v>
      </c>
      <c r="L856" t="s">
        <v>64</v>
      </c>
      <c r="M856">
        <f t="shared" si="26"/>
        <v>7</v>
      </c>
      <c r="N856" t="s">
        <v>27</v>
      </c>
      <c r="O856" t="s">
        <v>103</v>
      </c>
      <c r="P856" s="2">
        <v>594</v>
      </c>
      <c r="Q856" t="s">
        <v>74</v>
      </c>
      <c r="R856" t="s">
        <v>42</v>
      </c>
      <c r="S856" t="s">
        <v>58</v>
      </c>
      <c r="T856" t="s">
        <v>59</v>
      </c>
    </row>
    <row r="857" spans="1:20" x14ac:dyDescent="0.25">
      <c r="A857" s="2">
        <v>856</v>
      </c>
      <c r="B857" s="2">
        <v>91705</v>
      </c>
      <c r="C857" t="s">
        <v>51</v>
      </c>
      <c r="D857" t="s">
        <v>52</v>
      </c>
      <c r="E857" t="s">
        <v>76</v>
      </c>
      <c r="F857" t="s">
        <v>77</v>
      </c>
      <c r="G857" t="s">
        <v>81</v>
      </c>
      <c r="H857" t="s">
        <v>73</v>
      </c>
      <c r="I857" t="s">
        <v>91</v>
      </c>
      <c r="J857" t="s">
        <v>57</v>
      </c>
      <c r="K857" s="6">
        <f t="shared" si="27"/>
        <v>0.55000000000000004</v>
      </c>
      <c r="L857" t="s">
        <v>64</v>
      </c>
      <c r="M857">
        <f t="shared" si="26"/>
        <v>7</v>
      </c>
      <c r="N857" t="s">
        <v>40</v>
      </c>
      <c r="O857" t="s">
        <v>28</v>
      </c>
      <c r="P857" s="2">
        <v>1047</v>
      </c>
      <c r="Q857" t="s">
        <v>74</v>
      </c>
      <c r="R857" t="s">
        <v>68</v>
      </c>
      <c r="S857" t="s">
        <v>69</v>
      </c>
      <c r="T857" t="s">
        <v>43</v>
      </c>
    </row>
    <row r="858" spans="1:20" x14ac:dyDescent="0.25">
      <c r="A858" s="2">
        <v>857</v>
      </c>
      <c r="B858" s="2">
        <v>24709</v>
      </c>
      <c r="C858" t="s">
        <v>19</v>
      </c>
      <c r="D858" t="s">
        <v>66</v>
      </c>
      <c r="E858" t="s">
        <v>20</v>
      </c>
      <c r="F858" t="s">
        <v>21</v>
      </c>
      <c r="G858" t="s">
        <v>81</v>
      </c>
      <c r="H858" t="s">
        <v>73</v>
      </c>
      <c r="I858" t="s">
        <v>24</v>
      </c>
      <c r="J858" t="s">
        <v>25</v>
      </c>
      <c r="K858" s="6">
        <f t="shared" si="27"/>
        <v>0.6</v>
      </c>
      <c r="L858" t="s">
        <v>49</v>
      </c>
      <c r="M858">
        <f t="shared" si="26"/>
        <v>3</v>
      </c>
      <c r="N858" t="s">
        <v>27</v>
      </c>
      <c r="O858" t="s">
        <v>103</v>
      </c>
      <c r="P858" s="2">
        <v>1040</v>
      </c>
      <c r="Q858" t="s">
        <v>29</v>
      </c>
      <c r="R858" t="s">
        <v>68</v>
      </c>
      <c r="S858" t="s">
        <v>58</v>
      </c>
      <c r="T858" t="s">
        <v>32</v>
      </c>
    </row>
    <row r="859" spans="1:20" x14ac:dyDescent="0.25">
      <c r="A859" s="2">
        <v>858</v>
      </c>
      <c r="B859" s="2">
        <v>59553</v>
      </c>
      <c r="C859" t="s">
        <v>33</v>
      </c>
      <c r="D859" t="s">
        <v>66</v>
      </c>
      <c r="E859" t="s">
        <v>76</v>
      </c>
      <c r="F859" t="s">
        <v>77</v>
      </c>
      <c r="G859" t="s">
        <v>70</v>
      </c>
      <c r="H859" t="s">
        <v>73</v>
      </c>
      <c r="I859" t="s">
        <v>24</v>
      </c>
      <c r="J859" t="s">
        <v>57</v>
      </c>
      <c r="K859" s="6">
        <f t="shared" si="27"/>
        <v>2.4</v>
      </c>
      <c r="L859" t="s">
        <v>64</v>
      </c>
      <c r="M859">
        <f t="shared" si="26"/>
        <v>7</v>
      </c>
      <c r="N859" t="s">
        <v>27</v>
      </c>
      <c r="O859" t="s">
        <v>72</v>
      </c>
      <c r="P859" s="2">
        <v>980</v>
      </c>
      <c r="Q859" t="s">
        <v>29</v>
      </c>
      <c r="R859" t="s">
        <v>30</v>
      </c>
      <c r="S859" t="s">
        <v>58</v>
      </c>
      <c r="T859" t="s">
        <v>43</v>
      </c>
    </row>
    <row r="860" spans="1:20" x14ac:dyDescent="0.25">
      <c r="A860" s="2">
        <v>859</v>
      </c>
      <c r="B860" s="2">
        <v>51784</v>
      </c>
      <c r="C860" t="s">
        <v>51</v>
      </c>
      <c r="D860" t="s">
        <v>52</v>
      </c>
      <c r="E860" t="s">
        <v>34</v>
      </c>
      <c r="F860" t="s">
        <v>35</v>
      </c>
      <c r="G860" t="s">
        <v>70</v>
      </c>
      <c r="H860" t="s">
        <v>46</v>
      </c>
      <c r="I860" t="s">
        <v>47</v>
      </c>
      <c r="J860" t="s">
        <v>57</v>
      </c>
      <c r="K860" s="6">
        <f t="shared" si="27"/>
        <v>0.625</v>
      </c>
      <c r="L860" t="s">
        <v>64</v>
      </c>
      <c r="M860">
        <f t="shared" si="26"/>
        <v>7</v>
      </c>
      <c r="N860" t="s">
        <v>27</v>
      </c>
      <c r="O860" t="s">
        <v>103</v>
      </c>
      <c r="P860" s="2">
        <v>582</v>
      </c>
      <c r="Q860" t="s">
        <v>74</v>
      </c>
      <c r="R860" t="s">
        <v>68</v>
      </c>
      <c r="S860" t="s">
        <v>31</v>
      </c>
      <c r="T860" t="s">
        <v>43</v>
      </c>
    </row>
    <row r="861" spans="1:20" x14ac:dyDescent="0.25">
      <c r="A861" s="2">
        <v>860</v>
      </c>
      <c r="B861" s="2">
        <v>88987</v>
      </c>
      <c r="C861" t="s">
        <v>60</v>
      </c>
      <c r="D861" t="s">
        <v>52</v>
      </c>
      <c r="E861" t="s">
        <v>93</v>
      </c>
      <c r="F861" t="s">
        <v>62</v>
      </c>
      <c r="G861" t="s">
        <v>98</v>
      </c>
      <c r="H861" t="s">
        <v>23</v>
      </c>
      <c r="I861" t="s">
        <v>91</v>
      </c>
      <c r="J861" t="s">
        <v>57</v>
      </c>
      <c r="K861" s="6">
        <f t="shared" si="27"/>
        <v>0.55000000000000004</v>
      </c>
      <c r="L861" t="s">
        <v>64</v>
      </c>
      <c r="M861">
        <f t="shared" si="26"/>
        <v>7</v>
      </c>
      <c r="N861" t="s">
        <v>40</v>
      </c>
      <c r="O861" t="s">
        <v>82</v>
      </c>
      <c r="P861" s="2">
        <v>474</v>
      </c>
      <c r="Q861" t="s">
        <v>41</v>
      </c>
      <c r="R861" t="s">
        <v>68</v>
      </c>
      <c r="S861" t="s">
        <v>69</v>
      </c>
      <c r="T861" t="s">
        <v>43</v>
      </c>
    </row>
    <row r="862" spans="1:20" x14ac:dyDescent="0.25">
      <c r="A862" s="2">
        <v>861</v>
      </c>
      <c r="B862" s="2">
        <v>61115</v>
      </c>
      <c r="C862" t="s">
        <v>60</v>
      </c>
      <c r="D862" t="s">
        <v>66</v>
      </c>
      <c r="E862" t="s">
        <v>89</v>
      </c>
      <c r="F862" t="s">
        <v>90</v>
      </c>
      <c r="G862" t="s">
        <v>63</v>
      </c>
      <c r="H862" t="s">
        <v>23</v>
      </c>
      <c r="I862" t="s">
        <v>38</v>
      </c>
      <c r="J862" t="s">
        <v>57</v>
      </c>
      <c r="K862" s="6">
        <f t="shared" si="27"/>
        <v>1</v>
      </c>
      <c r="L862" t="s">
        <v>26</v>
      </c>
      <c r="M862">
        <f t="shared" si="26"/>
        <v>1</v>
      </c>
      <c r="N862" t="s">
        <v>27</v>
      </c>
      <c r="O862" t="s">
        <v>103</v>
      </c>
      <c r="P862" s="2">
        <v>525</v>
      </c>
      <c r="Q862" t="s">
        <v>41</v>
      </c>
      <c r="R862" t="s">
        <v>42</v>
      </c>
      <c r="S862" t="s">
        <v>31</v>
      </c>
      <c r="T862" t="s">
        <v>59</v>
      </c>
    </row>
    <row r="863" spans="1:20" x14ac:dyDescent="0.25">
      <c r="A863" s="2">
        <v>862</v>
      </c>
      <c r="B863" s="2">
        <v>36675</v>
      </c>
      <c r="C863" t="s">
        <v>33</v>
      </c>
      <c r="D863" t="s">
        <v>66</v>
      </c>
      <c r="E863" t="s">
        <v>76</v>
      </c>
      <c r="F863" t="s">
        <v>77</v>
      </c>
      <c r="G863" t="s">
        <v>70</v>
      </c>
      <c r="H863" t="s">
        <v>73</v>
      </c>
      <c r="I863" t="s">
        <v>56</v>
      </c>
      <c r="J863" t="s">
        <v>48</v>
      </c>
      <c r="K863" s="6">
        <f t="shared" si="27"/>
        <v>1.1000000000000001</v>
      </c>
      <c r="L863" t="s">
        <v>49</v>
      </c>
      <c r="M863">
        <f t="shared" si="26"/>
        <v>3</v>
      </c>
      <c r="N863" t="s">
        <v>27</v>
      </c>
      <c r="O863" t="s">
        <v>102</v>
      </c>
      <c r="P863" s="2">
        <v>1234</v>
      </c>
      <c r="Q863" t="s">
        <v>29</v>
      </c>
      <c r="R863" t="s">
        <v>42</v>
      </c>
      <c r="S863" t="s">
        <v>69</v>
      </c>
      <c r="T863" t="s">
        <v>43</v>
      </c>
    </row>
    <row r="864" spans="1:20" x14ac:dyDescent="0.25">
      <c r="A864" s="2">
        <v>863</v>
      </c>
      <c r="B864" s="2">
        <v>30969</v>
      </c>
      <c r="C864" t="s">
        <v>96</v>
      </c>
      <c r="D864" t="s">
        <v>66</v>
      </c>
      <c r="E864" t="s">
        <v>101</v>
      </c>
      <c r="F864" t="s">
        <v>80</v>
      </c>
      <c r="G864" t="s">
        <v>45</v>
      </c>
      <c r="H864" t="s">
        <v>37</v>
      </c>
      <c r="I864" t="s">
        <v>24</v>
      </c>
      <c r="J864" t="s">
        <v>25</v>
      </c>
      <c r="K864" s="6">
        <f t="shared" si="27"/>
        <v>0.6</v>
      </c>
      <c r="L864" t="s">
        <v>26</v>
      </c>
      <c r="M864">
        <f t="shared" si="26"/>
        <v>1</v>
      </c>
      <c r="N864" t="s">
        <v>27</v>
      </c>
      <c r="O864" t="s">
        <v>82</v>
      </c>
      <c r="P864" s="2">
        <v>2687</v>
      </c>
      <c r="Q864" t="s">
        <v>74</v>
      </c>
      <c r="R864" t="s">
        <v>68</v>
      </c>
      <c r="S864" t="s">
        <v>58</v>
      </c>
      <c r="T864" t="s">
        <v>32</v>
      </c>
    </row>
    <row r="865" spans="1:20" x14ac:dyDescent="0.25">
      <c r="A865" s="2">
        <v>864</v>
      </c>
      <c r="B865" s="2">
        <v>86151</v>
      </c>
      <c r="C865" t="s">
        <v>19</v>
      </c>
      <c r="D865" t="s">
        <v>52</v>
      </c>
      <c r="E865" t="s">
        <v>34</v>
      </c>
      <c r="F865" t="s">
        <v>35</v>
      </c>
      <c r="G865" t="s">
        <v>22</v>
      </c>
      <c r="H865" t="s">
        <v>73</v>
      </c>
      <c r="I865" t="s">
        <v>83</v>
      </c>
      <c r="J865" t="s">
        <v>57</v>
      </c>
      <c r="K865" s="6">
        <f t="shared" si="27"/>
        <v>0.55000000000000004</v>
      </c>
      <c r="L865" t="s">
        <v>64</v>
      </c>
      <c r="M865">
        <f t="shared" si="26"/>
        <v>7</v>
      </c>
      <c r="N865" t="s">
        <v>40</v>
      </c>
      <c r="O865" t="s">
        <v>65</v>
      </c>
      <c r="P865" s="2">
        <v>998</v>
      </c>
      <c r="Q865" t="s">
        <v>74</v>
      </c>
      <c r="R865" t="s">
        <v>68</v>
      </c>
      <c r="S865" t="s">
        <v>50</v>
      </c>
      <c r="T865" t="s">
        <v>43</v>
      </c>
    </row>
    <row r="866" spans="1:20" x14ac:dyDescent="0.25">
      <c r="A866" s="2">
        <v>865</v>
      </c>
      <c r="B866" s="2">
        <v>90912</v>
      </c>
      <c r="C866" t="s">
        <v>19</v>
      </c>
      <c r="D866" t="s">
        <v>52</v>
      </c>
      <c r="E866" t="s">
        <v>76</v>
      </c>
      <c r="F866" t="s">
        <v>77</v>
      </c>
      <c r="G866" t="s">
        <v>36</v>
      </c>
      <c r="H866" t="s">
        <v>46</v>
      </c>
      <c r="I866" t="s">
        <v>83</v>
      </c>
      <c r="J866" t="s">
        <v>86</v>
      </c>
      <c r="K866" s="6">
        <f t="shared" si="27"/>
        <v>2.2000000000000002</v>
      </c>
      <c r="L866" t="s">
        <v>64</v>
      </c>
      <c r="M866">
        <f t="shared" si="26"/>
        <v>7</v>
      </c>
      <c r="N866" t="s">
        <v>27</v>
      </c>
      <c r="O866" t="s">
        <v>72</v>
      </c>
      <c r="P866" s="2">
        <v>379</v>
      </c>
      <c r="Q866" t="s">
        <v>29</v>
      </c>
      <c r="R866" t="s">
        <v>30</v>
      </c>
      <c r="S866" t="s">
        <v>31</v>
      </c>
      <c r="T866" t="s">
        <v>43</v>
      </c>
    </row>
    <row r="867" spans="1:20" x14ac:dyDescent="0.25">
      <c r="A867" s="2">
        <v>866</v>
      </c>
      <c r="B867" s="2">
        <v>73464</v>
      </c>
      <c r="C867" t="s">
        <v>51</v>
      </c>
      <c r="D867" t="s">
        <v>66</v>
      </c>
      <c r="E867" t="s">
        <v>76</v>
      </c>
      <c r="F867" t="s">
        <v>77</v>
      </c>
      <c r="G867" t="s">
        <v>45</v>
      </c>
      <c r="H867" t="s">
        <v>46</v>
      </c>
      <c r="I867" t="s">
        <v>56</v>
      </c>
      <c r="J867" t="s">
        <v>39</v>
      </c>
      <c r="K867" s="6">
        <f t="shared" si="27"/>
        <v>0.55000000000000004</v>
      </c>
      <c r="L867" t="s">
        <v>49</v>
      </c>
      <c r="M867">
        <f t="shared" si="26"/>
        <v>3</v>
      </c>
      <c r="N867" t="s">
        <v>40</v>
      </c>
      <c r="O867" t="s">
        <v>82</v>
      </c>
      <c r="P867" s="2">
        <v>421</v>
      </c>
      <c r="Q867" t="s">
        <v>104</v>
      </c>
      <c r="R867" t="s">
        <v>68</v>
      </c>
      <c r="S867" t="s">
        <v>69</v>
      </c>
      <c r="T867" t="s">
        <v>43</v>
      </c>
    </row>
    <row r="868" spans="1:20" x14ac:dyDescent="0.25">
      <c r="A868" s="2">
        <v>867</v>
      </c>
      <c r="B868" s="2">
        <v>52390</v>
      </c>
      <c r="C868" t="s">
        <v>19</v>
      </c>
      <c r="D868" t="s">
        <v>52</v>
      </c>
      <c r="E868" t="s">
        <v>61</v>
      </c>
      <c r="F868" t="s">
        <v>62</v>
      </c>
      <c r="G868" t="s">
        <v>36</v>
      </c>
      <c r="H868" t="s">
        <v>46</v>
      </c>
      <c r="I868" t="s">
        <v>56</v>
      </c>
      <c r="J868" t="s">
        <v>57</v>
      </c>
      <c r="K868" s="6">
        <f t="shared" si="27"/>
        <v>2.2000000000000002</v>
      </c>
      <c r="L868" t="s">
        <v>64</v>
      </c>
      <c r="M868">
        <f t="shared" si="26"/>
        <v>7</v>
      </c>
      <c r="N868" t="s">
        <v>27</v>
      </c>
      <c r="O868" t="s">
        <v>28</v>
      </c>
      <c r="P868" s="2">
        <v>555</v>
      </c>
      <c r="Q868" t="s">
        <v>74</v>
      </c>
      <c r="R868" t="s">
        <v>75</v>
      </c>
      <c r="S868" t="s">
        <v>69</v>
      </c>
      <c r="T868" t="s">
        <v>59</v>
      </c>
    </row>
    <row r="869" spans="1:20" x14ac:dyDescent="0.25">
      <c r="A869" s="2">
        <v>868</v>
      </c>
      <c r="B869" s="2">
        <v>49344</v>
      </c>
      <c r="C869" t="s">
        <v>96</v>
      </c>
      <c r="D869" t="s">
        <v>52</v>
      </c>
      <c r="E869" t="s">
        <v>95</v>
      </c>
      <c r="F869" t="s">
        <v>21</v>
      </c>
      <c r="G869" t="s">
        <v>63</v>
      </c>
      <c r="H869" t="s">
        <v>73</v>
      </c>
      <c r="I869" t="s">
        <v>24</v>
      </c>
      <c r="J869" t="s">
        <v>86</v>
      </c>
      <c r="K869" s="6">
        <f t="shared" si="27"/>
        <v>2.4</v>
      </c>
      <c r="L869" t="s">
        <v>64</v>
      </c>
      <c r="M869">
        <f t="shared" si="26"/>
        <v>7</v>
      </c>
      <c r="N869" t="s">
        <v>104</v>
      </c>
      <c r="O869" t="s">
        <v>65</v>
      </c>
      <c r="P869" s="2">
        <v>877</v>
      </c>
      <c r="Q869" t="s">
        <v>74</v>
      </c>
      <c r="R869" t="s">
        <v>75</v>
      </c>
      <c r="S869" t="s">
        <v>58</v>
      </c>
      <c r="T869" t="s">
        <v>43</v>
      </c>
    </row>
    <row r="870" spans="1:20" x14ac:dyDescent="0.25">
      <c r="A870" s="2">
        <v>869</v>
      </c>
      <c r="B870" s="2">
        <v>57388</v>
      </c>
      <c r="C870" t="s">
        <v>60</v>
      </c>
      <c r="D870" t="s">
        <v>52</v>
      </c>
      <c r="E870" t="s">
        <v>97</v>
      </c>
      <c r="F870" t="s">
        <v>62</v>
      </c>
      <c r="G870" t="s">
        <v>81</v>
      </c>
      <c r="H870" t="s">
        <v>23</v>
      </c>
      <c r="I870" t="s">
        <v>83</v>
      </c>
      <c r="J870" t="s">
        <v>25</v>
      </c>
      <c r="K870" s="6">
        <f t="shared" si="27"/>
        <v>0.55000000000000004</v>
      </c>
      <c r="L870" t="s">
        <v>64</v>
      </c>
      <c r="M870">
        <f t="shared" si="26"/>
        <v>7</v>
      </c>
      <c r="N870" t="s">
        <v>27</v>
      </c>
      <c r="O870" t="s">
        <v>102</v>
      </c>
      <c r="P870" s="2">
        <v>639</v>
      </c>
      <c r="Q870" t="s">
        <v>74</v>
      </c>
      <c r="R870" t="s">
        <v>68</v>
      </c>
      <c r="S870" t="s">
        <v>31</v>
      </c>
      <c r="T870" t="s">
        <v>59</v>
      </c>
    </row>
    <row r="871" spans="1:20" x14ac:dyDescent="0.25">
      <c r="A871" s="2">
        <v>870</v>
      </c>
      <c r="B871" s="2">
        <v>85385</v>
      </c>
      <c r="C871" t="s">
        <v>51</v>
      </c>
      <c r="D871" t="s">
        <v>52</v>
      </c>
      <c r="E871" t="s">
        <v>20</v>
      </c>
      <c r="F871" t="s">
        <v>21</v>
      </c>
      <c r="G871" t="s">
        <v>78</v>
      </c>
      <c r="H871" t="s">
        <v>73</v>
      </c>
      <c r="I871" t="s">
        <v>83</v>
      </c>
      <c r="J871" t="s">
        <v>57</v>
      </c>
      <c r="K871" s="6">
        <f t="shared" si="27"/>
        <v>0.55000000000000004</v>
      </c>
      <c r="L871" t="s">
        <v>64</v>
      </c>
      <c r="M871">
        <f t="shared" si="26"/>
        <v>7</v>
      </c>
      <c r="N871" t="s">
        <v>40</v>
      </c>
      <c r="O871" t="s">
        <v>28</v>
      </c>
      <c r="P871" s="2">
        <v>1139</v>
      </c>
      <c r="Q871" t="s">
        <v>29</v>
      </c>
      <c r="R871" t="s">
        <v>68</v>
      </c>
      <c r="S871" t="s">
        <v>58</v>
      </c>
      <c r="T871" t="s">
        <v>32</v>
      </c>
    </row>
    <row r="872" spans="1:20" x14ac:dyDescent="0.25">
      <c r="A872" s="2">
        <v>871</v>
      </c>
      <c r="B872" s="2">
        <v>22751</v>
      </c>
      <c r="C872" t="s">
        <v>33</v>
      </c>
      <c r="D872" t="s">
        <v>52</v>
      </c>
      <c r="E872" t="s">
        <v>99</v>
      </c>
      <c r="F872" t="s">
        <v>100</v>
      </c>
      <c r="G872" t="s">
        <v>45</v>
      </c>
      <c r="H872" t="s">
        <v>46</v>
      </c>
      <c r="I872" t="s">
        <v>47</v>
      </c>
      <c r="J872" t="s">
        <v>86</v>
      </c>
      <c r="K872" s="6">
        <f t="shared" si="27"/>
        <v>2.5</v>
      </c>
      <c r="L872" t="s">
        <v>64</v>
      </c>
      <c r="M872">
        <f t="shared" si="26"/>
        <v>7</v>
      </c>
      <c r="N872" t="s">
        <v>40</v>
      </c>
      <c r="O872" t="s">
        <v>103</v>
      </c>
      <c r="P872" s="2">
        <v>401</v>
      </c>
      <c r="Q872" t="s">
        <v>41</v>
      </c>
      <c r="R872" t="s">
        <v>30</v>
      </c>
      <c r="S872" t="s">
        <v>69</v>
      </c>
      <c r="T872" t="s">
        <v>32</v>
      </c>
    </row>
    <row r="873" spans="1:20" x14ac:dyDescent="0.25">
      <c r="A873" s="2">
        <v>872</v>
      </c>
      <c r="B873" s="2">
        <v>66350</v>
      </c>
      <c r="C873" t="s">
        <v>51</v>
      </c>
      <c r="D873" t="s">
        <v>52</v>
      </c>
      <c r="E873" t="s">
        <v>76</v>
      </c>
      <c r="F873" t="s">
        <v>77</v>
      </c>
      <c r="G873" t="s">
        <v>36</v>
      </c>
      <c r="H873" t="s">
        <v>23</v>
      </c>
      <c r="I873" t="s">
        <v>67</v>
      </c>
      <c r="J873" t="s">
        <v>57</v>
      </c>
      <c r="K873" s="6">
        <f t="shared" si="27"/>
        <v>1.1000000000000001</v>
      </c>
      <c r="L873" t="s">
        <v>26</v>
      </c>
      <c r="M873">
        <f t="shared" si="26"/>
        <v>1</v>
      </c>
      <c r="N873" t="s">
        <v>27</v>
      </c>
      <c r="O873" t="s">
        <v>103</v>
      </c>
      <c r="P873" s="2">
        <v>441</v>
      </c>
      <c r="Q873" t="s">
        <v>104</v>
      </c>
      <c r="R873" t="s">
        <v>42</v>
      </c>
      <c r="S873" t="s">
        <v>69</v>
      </c>
      <c r="T873" t="s">
        <v>43</v>
      </c>
    </row>
    <row r="874" spans="1:20" x14ac:dyDescent="0.25">
      <c r="A874" s="2">
        <v>873</v>
      </c>
      <c r="B874" s="2">
        <v>20697</v>
      </c>
      <c r="C874" t="s">
        <v>33</v>
      </c>
      <c r="D874" t="s">
        <v>66</v>
      </c>
      <c r="E874" t="s">
        <v>53</v>
      </c>
      <c r="F874" t="s">
        <v>54</v>
      </c>
      <c r="G874" t="s">
        <v>92</v>
      </c>
      <c r="H874" t="s">
        <v>23</v>
      </c>
      <c r="I874" t="s">
        <v>91</v>
      </c>
      <c r="J874" t="s">
        <v>39</v>
      </c>
      <c r="K874" s="6">
        <f t="shared" si="27"/>
        <v>2.2000000000000002</v>
      </c>
      <c r="L874" t="s">
        <v>26</v>
      </c>
      <c r="M874">
        <f t="shared" si="26"/>
        <v>1</v>
      </c>
      <c r="N874" t="s">
        <v>27</v>
      </c>
      <c r="O874" t="s">
        <v>28</v>
      </c>
      <c r="P874" s="2">
        <v>652</v>
      </c>
      <c r="Q874" t="s">
        <v>41</v>
      </c>
      <c r="R874" t="s">
        <v>75</v>
      </c>
      <c r="S874" t="s">
        <v>69</v>
      </c>
      <c r="T874" t="s">
        <v>59</v>
      </c>
    </row>
    <row r="875" spans="1:20" x14ac:dyDescent="0.25">
      <c r="A875" s="2">
        <v>874</v>
      </c>
      <c r="B875" s="2">
        <v>44336</v>
      </c>
      <c r="C875" t="s">
        <v>33</v>
      </c>
      <c r="D875" t="s">
        <v>52</v>
      </c>
      <c r="E875" t="s">
        <v>87</v>
      </c>
      <c r="F875" t="s">
        <v>88</v>
      </c>
      <c r="G875" t="s">
        <v>45</v>
      </c>
      <c r="H875" t="s">
        <v>73</v>
      </c>
      <c r="I875" t="s">
        <v>47</v>
      </c>
      <c r="J875" t="s">
        <v>25</v>
      </c>
      <c r="K875" s="6">
        <f t="shared" si="27"/>
        <v>2.5</v>
      </c>
      <c r="L875" t="s">
        <v>64</v>
      </c>
      <c r="M875">
        <f t="shared" si="26"/>
        <v>7</v>
      </c>
      <c r="N875" t="s">
        <v>27</v>
      </c>
      <c r="O875" t="s">
        <v>103</v>
      </c>
      <c r="P875" s="2">
        <v>1241</v>
      </c>
      <c r="Q875" t="s">
        <v>29</v>
      </c>
      <c r="R875" t="s">
        <v>75</v>
      </c>
      <c r="S875" t="s">
        <v>69</v>
      </c>
      <c r="T875" t="s">
        <v>59</v>
      </c>
    </row>
    <row r="876" spans="1:20" x14ac:dyDescent="0.25">
      <c r="A876" s="2">
        <v>875</v>
      </c>
      <c r="B876" s="2">
        <v>19039</v>
      </c>
      <c r="C876" t="s">
        <v>51</v>
      </c>
      <c r="D876" t="s">
        <v>52</v>
      </c>
      <c r="E876" t="s">
        <v>87</v>
      </c>
      <c r="F876" t="s">
        <v>88</v>
      </c>
      <c r="G876" t="s">
        <v>45</v>
      </c>
      <c r="H876" t="s">
        <v>37</v>
      </c>
      <c r="I876" t="s">
        <v>83</v>
      </c>
      <c r="J876" t="s">
        <v>86</v>
      </c>
      <c r="K876" s="6">
        <f t="shared" si="27"/>
        <v>2.2000000000000002</v>
      </c>
      <c r="L876" t="s">
        <v>64</v>
      </c>
      <c r="M876">
        <f t="shared" si="26"/>
        <v>7</v>
      </c>
      <c r="N876" t="s">
        <v>104</v>
      </c>
      <c r="O876" t="s">
        <v>103</v>
      </c>
      <c r="P876" s="2">
        <v>2636</v>
      </c>
      <c r="Q876" t="s">
        <v>29</v>
      </c>
      <c r="R876" t="s">
        <v>30</v>
      </c>
      <c r="S876" t="s">
        <v>69</v>
      </c>
      <c r="T876" t="s">
        <v>59</v>
      </c>
    </row>
    <row r="877" spans="1:20" x14ac:dyDescent="0.25">
      <c r="A877" s="2">
        <v>876</v>
      </c>
      <c r="B877" s="2">
        <v>40291</v>
      </c>
      <c r="C877" t="s">
        <v>51</v>
      </c>
      <c r="D877" t="s">
        <v>66</v>
      </c>
      <c r="E877" t="s">
        <v>34</v>
      </c>
      <c r="F877" t="s">
        <v>35</v>
      </c>
      <c r="G877" t="s">
        <v>92</v>
      </c>
      <c r="H877" t="s">
        <v>46</v>
      </c>
      <c r="I877" t="s">
        <v>94</v>
      </c>
      <c r="J877" t="s">
        <v>57</v>
      </c>
      <c r="K877" s="6">
        <f t="shared" si="27"/>
        <v>1.5</v>
      </c>
      <c r="L877" t="s">
        <v>26</v>
      </c>
      <c r="M877">
        <f t="shared" si="26"/>
        <v>1</v>
      </c>
      <c r="N877" t="s">
        <v>104</v>
      </c>
      <c r="O877" t="s">
        <v>103</v>
      </c>
      <c r="P877" s="2">
        <v>436</v>
      </c>
      <c r="Q877" t="s">
        <v>29</v>
      </c>
      <c r="R877" t="s">
        <v>30</v>
      </c>
      <c r="S877" t="s">
        <v>31</v>
      </c>
      <c r="T877" t="s">
        <v>43</v>
      </c>
    </row>
    <row r="878" spans="1:20" x14ac:dyDescent="0.25">
      <c r="A878" s="2">
        <v>877</v>
      </c>
      <c r="B878" s="2">
        <v>59665</v>
      </c>
      <c r="C878" t="s">
        <v>19</v>
      </c>
      <c r="D878" t="s">
        <v>52</v>
      </c>
      <c r="E878" t="s">
        <v>76</v>
      </c>
      <c r="F878" t="s">
        <v>77</v>
      </c>
      <c r="G878" t="s">
        <v>36</v>
      </c>
      <c r="H878" t="s">
        <v>46</v>
      </c>
      <c r="I878" t="s">
        <v>94</v>
      </c>
      <c r="J878" t="s">
        <v>86</v>
      </c>
      <c r="K878" s="6">
        <f t="shared" si="27"/>
        <v>1.5</v>
      </c>
      <c r="L878" t="s">
        <v>64</v>
      </c>
      <c r="M878">
        <f t="shared" si="26"/>
        <v>7</v>
      </c>
      <c r="N878" t="s">
        <v>27</v>
      </c>
      <c r="O878" t="s">
        <v>103</v>
      </c>
      <c r="P878" s="2">
        <v>327</v>
      </c>
      <c r="Q878" t="s">
        <v>41</v>
      </c>
      <c r="R878" t="s">
        <v>75</v>
      </c>
      <c r="S878" t="s">
        <v>69</v>
      </c>
      <c r="T878" t="s">
        <v>43</v>
      </c>
    </row>
    <row r="879" spans="1:20" x14ac:dyDescent="0.25">
      <c r="A879" s="2">
        <v>878</v>
      </c>
      <c r="B879" s="2">
        <v>81613</v>
      </c>
      <c r="C879" t="s">
        <v>60</v>
      </c>
      <c r="D879" t="s">
        <v>66</v>
      </c>
      <c r="E879" t="s">
        <v>97</v>
      </c>
      <c r="F879" t="s">
        <v>62</v>
      </c>
      <c r="G879" t="s">
        <v>81</v>
      </c>
      <c r="H879" t="s">
        <v>37</v>
      </c>
      <c r="I879" t="s">
        <v>94</v>
      </c>
      <c r="J879" t="s">
        <v>57</v>
      </c>
      <c r="K879" s="6">
        <f t="shared" si="27"/>
        <v>1.5</v>
      </c>
      <c r="L879" t="s">
        <v>26</v>
      </c>
      <c r="M879">
        <f t="shared" si="26"/>
        <v>1</v>
      </c>
      <c r="N879" t="s">
        <v>40</v>
      </c>
      <c r="O879" t="s">
        <v>103</v>
      </c>
      <c r="P879" s="2">
        <v>1807</v>
      </c>
      <c r="Q879" t="s">
        <v>74</v>
      </c>
      <c r="R879" t="s">
        <v>75</v>
      </c>
      <c r="S879" t="s">
        <v>50</v>
      </c>
      <c r="T879" t="s">
        <v>59</v>
      </c>
    </row>
    <row r="880" spans="1:20" x14ac:dyDescent="0.25">
      <c r="A880" s="2">
        <v>879</v>
      </c>
      <c r="B880" s="2">
        <v>97656</v>
      </c>
      <c r="C880" t="s">
        <v>60</v>
      </c>
      <c r="D880" t="s">
        <v>66</v>
      </c>
      <c r="E880" t="s">
        <v>97</v>
      </c>
      <c r="F880" t="s">
        <v>62</v>
      </c>
      <c r="G880" t="s">
        <v>81</v>
      </c>
      <c r="H880" t="s">
        <v>46</v>
      </c>
      <c r="I880" t="s">
        <v>24</v>
      </c>
      <c r="J880" t="s">
        <v>57</v>
      </c>
      <c r="K880" s="6">
        <f t="shared" si="27"/>
        <v>2.4</v>
      </c>
      <c r="L880" t="s">
        <v>64</v>
      </c>
      <c r="M880">
        <f t="shared" si="26"/>
        <v>7</v>
      </c>
      <c r="N880" t="s">
        <v>27</v>
      </c>
      <c r="O880" t="s">
        <v>28</v>
      </c>
      <c r="P880" s="2">
        <v>538</v>
      </c>
      <c r="Q880" t="s">
        <v>74</v>
      </c>
      <c r="R880" t="s">
        <v>75</v>
      </c>
      <c r="S880" t="s">
        <v>69</v>
      </c>
      <c r="T880" t="s">
        <v>59</v>
      </c>
    </row>
    <row r="881" spans="1:20" x14ac:dyDescent="0.25">
      <c r="A881" s="2">
        <v>880</v>
      </c>
      <c r="B881" s="2">
        <v>84781</v>
      </c>
      <c r="C881" t="s">
        <v>33</v>
      </c>
      <c r="D881" t="s">
        <v>52</v>
      </c>
      <c r="E881" t="s">
        <v>44</v>
      </c>
      <c r="F881" t="s">
        <v>44</v>
      </c>
      <c r="G881" t="s">
        <v>92</v>
      </c>
      <c r="H881" t="s">
        <v>46</v>
      </c>
      <c r="I881" t="s">
        <v>38</v>
      </c>
      <c r="J881" t="s">
        <v>57</v>
      </c>
      <c r="K881" s="6">
        <f t="shared" si="27"/>
        <v>0.5</v>
      </c>
      <c r="L881" t="s">
        <v>64</v>
      </c>
      <c r="M881">
        <f t="shared" si="26"/>
        <v>7</v>
      </c>
      <c r="N881" t="s">
        <v>27</v>
      </c>
      <c r="O881" t="s">
        <v>82</v>
      </c>
      <c r="P881" s="2">
        <v>369</v>
      </c>
      <c r="Q881" t="s">
        <v>74</v>
      </c>
      <c r="R881" t="s">
        <v>68</v>
      </c>
      <c r="S881" t="s">
        <v>50</v>
      </c>
      <c r="T881" t="s">
        <v>43</v>
      </c>
    </row>
    <row r="882" spans="1:20" x14ac:dyDescent="0.25">
      <c r="A882" s="2">
        <v>881</v>
      </c>
      <c r="B882" s="2">
        <v>79909</v>
      </c>
      <c r="C882" t="s">
        <v>51</v>
      </c>
      <c r="D882" t="s">
        <v>52</v>
      </c>
      <c r="E882" t="s">
        <v>20</v>
      </c>
      <c r="F882" t="s">
        <v>21</v>
      </c>
      <c r="G882" t="s">
        <v>36</v>
      </c>
      <c r="H882" t="s">
        <v>23</v>
      </c>
      <c r="I882" t="s">
        <v>24</v>
      </c>
      <c r="J882" t="s">
        <v>25</v>
      </c>
      <c r="K882" s="6">
        <f t="shared" si="27"/>
        <v>2.4</v>
      </c>
      <c r="L882" t="s">
        <v>26</v>
      </c>
      <c r="M882">
        <f t="shared" si="26"/>
        <v>1</v>
      </c>
      <c r="N882" t="s">
        <v>27</v>
      </c>
      <c r="O882" t="s">
        <v>28</v>
      </c>
      <c r="P882" s="2">
        <v>553</v>
      </c>
      <c r="Q882" t="s">
        <v>74</v>
      </c>
      <c r="R882" t="s">
        <v>75</v>
      </c>
      <c r="S882" t="s">
        <v>69</v>
      </c>
      <c r="T882" t="s">
        <v>32</v>
      </c>
    </row>
    <row r="883" spans="1:20" x14ac:dyDescent="0.25">
      <c r="A883" s="2">
        <v>882</v>
      </c>
      <c r="B883" s="2">
        <v>53680</v>
      </c>
      <c r="C883" t="s">
        <v>60</v>
      </c>
      <c r="D883" t="s">
        <v>52</v>
      </c>
      <c r="E883" t="s">
        <v>101</v>
      </c>
      <c r="F883" t="s">
        <v>80</v>
      </c>
      <c r="G883" t="s">
        <v>55</v>
      </c>
      <c r="H883" t="s">
        <v>46</v>
      </c>
      <c r="I883" t="s">
        <v>67</v>
      </c>
      <c r="J883" t="s">
        <v>57</v>
      </c>
      <c r="K883" s="6">
        <f t="shared" si="27"/>
        <v>2.2000000000000002</v>
      </c>
      <c r="L883" t="s">
        <v>49</v>
      </c>
      <c r="M883">
        <f t="shared" si="26"/>
        <v>3</v>
      </c>
      <c r="N883" t="s">
        <v>40</v>
      </c>
      <c r="O883" t="s">
        <v>28</v>
      </c>
      <c r="P883" s="2">
        <v>491</v>
      </c>
      <c r="Q883" t="s">
        <v>41</v>
      </c>
      <c r="R883" t="s">
        <v>30</v>
      </c>
      <c r="S883" t="s">
        <v>31</v>
      </c>
      <c r="T883" t="s">
        <v>32</v>
      </c>
    </row>
    <row r="884" spans="1:20" x14ac:dyDescent="0.25">
      <c r="A884" s="2">
        <v>883</v>
      </c>
      <c r="B884" s="2">
        <v>32491</v>
      </c>
      <c r="C884" t="s">
        <v>51</v>
      </c>
      <c r="D884" t="s">
        <v>52</v>
      </c>
      <c r="E884" t="s">
        <v>84</v>
      </c>
      <c r="F884" t="s">
        <v>85</v>
      </c>
      <c r="G884" t="s">
        <v>63</v>
      </c>
      <c r="H884" t="s">
        <v>73</v>
      </c>
      <c r="I884" t="s">
        <v>47</v>
      </c>
      <c r="J884" t="s">
        <v>25</v>
      </c>
      <c r="K884" s="6">
        <f t="shared" si="27"/>
        <v>0.625</v>
      </c>
      <c r="L884" t="s">
        <v>64</v>
      </c>
      <c r="M884">
        <f t="shared" si="26"/>
        <v>7</v>
      </c>
      <c r="N884" t="s">
        <v>40</v>
      </c>
      <c r="O884" t="s">
        <v>28</v>
      </c>
      <c r="P884" s="2">
        <v>1213</v>
      </c>
      <c r="Q884" t="s">
        <v>74</v>
      </c>
      <c r="R884" t="s">
        <v>68</v>
      </c>
      <c r="S884" t="s">
        <v>31</v>
      </c>
      <c r="T884" t="s">
        <v>32</v>
      </c>
    </row>
    <row r="885" spans="1:20" x14ac:dyDescent="0.25">
      <c r="A885" s="2">
        <v>884</v>
      </c>
      <c r="B885" s="2">
        <v>65739</v>
      </c>
      <c r="C885" t="s">
        <v>51</v>
      </c>
      <c r="D885" t="s">
        <v>66</v>
      </c>
      <c r="E885" t="s">
        <v>97</v>
      </c>
      <c r="F885" t="s">
        <v>62</v>
      </c>
      <c r="G885" t="s">
        <v>63</v>
      </c>
      <c r="H885" t="s">
        <v>23</v>
      </c>
      <c r="I885" t="s">
        <v>67</v>
      </c>
      <c r="J885" t="s">
        <v>25</v>
      </c>
      <c r="K885" s="6">
        <f t="shared" si="27"/>
        <v>0.55000000000000004</v>
      </c>
      <c r="L885" t="s">
        <v>64</v>
      </c>
      <c r="M885">
        <f t="shared" si="26"/>
        <v>7</v>
      </c>
      <c r="N885" t="s">
        <v>40</v>
      </c>
      <c r="O885" t="s">
        <v>28</v>
      </c>
      <c r="P885" s="2">
        <v>865</v>
      </c>
      <c r="Q885" t="s">
        <v>41</v>
      </c>
      <c r="R885" t="s">
        <v>68</v>
      </c>
      <c r="S885" t="s">
        <v>69</v>
      </c>
      <c r="T885" t="s">
        <v>59</v>
      </c>
    </row>
    <row r="886" spans="1:20" x14ac:dyDescent="0.25">
      <c r="A886" s="2">
        <v>885</v>
      </c>
      <c r="B886" s="2">
        <v>95584</v>
      </c>
      <c r="C886" t="s">
        <v>33</v>
      </c>
      <c r="D886" t="s">
        <v>66</v>
      </c>
      <c r="E886" t="s">
        <v>99</v>
      </c>
      <c r="F886" t="s">
        <v>100</v>
      </c>
      <c r="G886" t="s">
        <v>45</v>
      </c>
      <c r="H886" t="s">
        <v>46</v>
      </c>
      <c r="I886" t="s">
        <v>94</v>
      </c>
      <c r="J886" t="s">
        <v>57</v>
      </c>
      <c r="K886" s="6">
        <f t="shared" si="27"/>
        <v>0.75</v>
      </c>
      <c r="L886" t="s">
        <v>64</v>
      </c>
      <c r="M886">
        <f t="shared" si="26"/>
        <v>7</v>
      </c>
      <c r="N886" t="s">
        <v>40</v>
      </c>
      <c r="O886" t="s">
        <v>28</v>
      </c>
      <c r="P886" s="2">
        <v>335</v>
      </c>
      <c r="Q886" t="s">
        <v>41</v>
      </c>
      <c r="R886" t="s">
        <v>42</v>
      </c>
      <c r="S886" t="s">
        <v>69</v>
      </c>
      <c r="T886" t="s">
        <v>32</v>
      </c>
    </row>
    <row r="887" spans="1:20" x14ac:dyDescent="0.25">
      <c r="A887" s="2">
        <v>886</v>
      </c>
      <c r="B887" s="2">
        <v>52833</v>
      </c>
      <c r="C887" t="s">
        <v>33</v>
      </c>
      <c r="D887" t="s">
        <v>66</v>
      </c>
      <c r="E887" t="s">
        <v>79</v>
      </c>
      <c r="F887" t="s">
        <v>80</v>
      </c>
      <c r="G887" t="s">
        <v>63</v>
      </c>
      <c r="H887" t="s">
        <v>73</v>
      </c>
      <c r="I887" t="s">
        <v>94</v>
      </c>
      <c r="J887" t="s">
        <v>25</v>
      </c>
      <c r="K887" s="6">
        <f t="shared" si="27"/>
        <v>1.5</v>
      </c>
      <c r="L887" t="s">
        <v>64</v>
      </c>
      <c r="M887">
        <f t="shared" si="26"/>
        <v>7</v>
      </c>
      <c r="N887" t="s">
        <v>27</v>
      </c>
      <c r="O887" t="s">
        <v>103</v>
      </c>
      <c r="P887" s="2">
        <v>1105</v>
      </c>
      <c r="Q887" t="s">
        <v>104</v>
      </c>
      <c r="R887" t="s">
        <v>75</v>
      </c>
      <c r="S887" t="s">
        <v>50</v>
      </c>
      <c r="T887" t="s">
        <v>43</v>
      </c>
    </row>
    <row r="888" spans="1:20" x14ac:dyDescent="0.25">
      <c r="A888" s="2">
        <v>887</v>
      </c>
      <c r="B888" s="2">
        <v>44119</v>
      </c>
      <c r="C888" t="s">
        <v>33</v>
      </c>
      <c r="D888" t="s">
        <v>66</v>
      </c>
      <c r="E888" t="s">
        <v>61</v>
      </c>
      <c r="F888" t="s">
        <v>62</v>
      </c>
      <c r="G888" t="s">
        <v>98</v>
      </c>
      <c r="H888" t="s">
        <v>23</v>
      </c>
      <c r="I888" t="s">
        <v>94</v>
      </c>
      <c r="J888" t="s">
        <v>57</v>
      </c>
      <c r="K888" s="6">
        <f t="shared" si="27"/>
        <v>0.375</v>
      </c>
      <c r="L888" t="s">
        <v>64</v>
      </c>
      <c r="M888">
        <f t="shared" si="26"/>
        <v>7</v>
      </c>
      <c r="N888" t="s">
        <v>104</v>
      </c>
      <c r="O888" t="s">
        <v>28</v>
      </c>
      <c r="P888" s="2">
        <v>844</v>
      </c>
      <c r="Q888" t="s">
        <v>29</v>
      </c>
      <c r="R888" t="s">
        <v>68</v>
      </c>
      <c r="S888" t="s">
        <v>50</v>
      </c>
      <c r="T888" t="s">
        <v>59</v>
      </c>
    </row>
    <row r="889" spans="1:20" x14ac:dyDescent="0.25">
      <c r="A889" s="2">
        <v>888</v>
      </c>
      <c r="B889" s="2">
        <v>94825</v>
      </c>
      <c r="C889" t="s">
        <v>51</v>
      </c>
      <c r="D889" t="s">
        <v>66</v>
      </c>
      <c r="E889" t="s">
        <v>84</v>
      </c>
      <c r="F889" t="s">
        <v>85</v>
      </c>
      <c r="G889" t="s">
        <v>55</v>
      </c>
      <c r="H889" t="s">
        <v>73</v>
      </c>
      <c r="I889" t="s">
        <v>38</v>
      </c>
      <c r="J889" t="s">
        <v>86</v>
      </c>
      <c r="K889" s="6">
        <f t="shared" si="27"/>
        <v>1</v>
      </c>
      <c r="L889" t="s">
        <v>64</v>
      </c>
      <c r="M889">
        <f t="shared" si="26"/>
        <v>7</v>
      </c>
      <c r="N889" t="s">
        <v>104</v>
      </c>
      <c r="O889" t="s">
        <v>103</v>
      </c>
      <c r="P889" s="2">
        <v>1098</v>
      </c>
      <c r="Q889" t="s">
        <v>74</v>
      </c>
      <c r="R889" t="s">
        <v>42</v>
      </c>
      <c r="S889" t="s">
        <v>31</v>
      </c>
      <c r="T889" t="s">
        <v>32</v>
      </c>
    </row>
    <row r="890" spans="1:20" x14ac:dyDescent="0.25">
      <c r="A890" s="2">
        <v>889</v>
      </c>
      <c r="B890" s="2">
        <v>11186</v>
      </c>
      <c r="C890" t="s">
        <v>96</v>
      </c>
      <c r="D890" t="s">
        <v>66</v>
      </c>
      <c r="E890" t="s">
        <v>101</v>
      </c>
      <c r="F890" t="s">
        <v>80</v>
      </c>
      <c r="G890" t="s">
        <v>36</v>
      </c>
      <c r="H890" t="s">
        <v>23</v>
      </c>
      <c r="I890" t="s">
        <v>83</v>
      </c>
      <c r="J890" t="s">
        <v>57</v>
      </c>
      <c r="K890" s="6">
        <f t="shared" si="27"/>
        <v>2.2000000000000002</v>
      </c>
      <c r="L890" t="s">
        <v>26</v>
      </c>
      <c r="M890">
        <f t="shared" si="26"/>
        <v>1</v>
      </c>
      <c r="N890" t="s">
        <v>27</v>
      </c>
      <c r="O890" t="s">
        <v>103</v>
      </c>
      <c r="P890" s="2">
        <v>498</v>
      </c>
      <c r="Q890" t="s">
        <v>29</v>
      </c>
      <c r="R890" t="s">
        <v>30</v>
      </c>
      <c r="S890" t="s">
        <v>58</v>
      </c>
      <c r="T890" t="s">
        <v>32</v>
      </c>
    </row>
    <row r="891" spans="1:20" x14ac:dyDescent="0.25">
      <c r="A891" s="2">
        <v>890</v>
      </c>
      <c r="B891" s="2">
        <v>18844</v>
      </c>
      <c r="C891" t="s">
        <v>19</v>
      </c>
      <c r="D891" t="s">
        <v>66</v>
      </c>
      <c r="E891" t="s">
        <v>79</v>
      </c>
      <c r="F891" t="s">
        <v>80</v>
      </c>
      <c r="G891" t="s">
        <v>70</v>
      </c>
      <c r="H891" t="s">
        <v>46</v>
      </c>
      <c r="I891" t="s">
        <v>24</v>
      </c>
      <c r="J891" t="s">
        <v>25</v>
      </c>
      <c r="K891" s="6">
        <f t="shared" si="27"/>
        <v>0.6</v>
      </c>
      <c r="L891" t="s">
        <v>64</v>
      </c>
      <c r="M891">
        <f t="shared" si="26"/>
        <v>7</v>
      </c>
      <c r="N891" t="s">
        <v>27</v>
      </c>
      <c r="O891" t="s">
        <v>103</v>
      </c>
      <c r="P891" s="2">
        <v>290</v>
      </c>
      <c r="Q891" t="s">
        <v>41</v>
      </c>
      <c r="R891" t="s">
        <v>68</v>
      </c>
      <c r="S891" t="s">
        <v>31</v>
      </c>
      <c r="T891" t="s">
        <v>43</v>
      </c>
    </row>
    <row r="892" spans="1:20" x14ac:dyDescent="0.25">
      <c r="A892" s="2">
        <v>891</v>
      </c>
      <c r="B892" s="2">
        <v>57663</v>
      </c>
      <c r="C892" t="s">
        <v>51</v>
      </c>
      <c r="D892" t="s">
        <v>52</v>
      </c>
      <c r="E892" t="s">
        <v>79</v>
      </c>
      <c r="F892" t="s">
        <v>80</v>
      </c>
      <c r="G892" t="s">
        <v>81</v>
      </c>
      <c r="H892" t="s">
        <v>46</v>
      </c>
      <c r="I892" t="s">
        <v>24</v>
      </c>
      <c r="J892" t="s">
        <v>25</v>
      </c>
      <c r="K892" s="6">
        <f t="shared" si="27"/>
        <v>2.4</v>
      </c>
      <c r="L892" t="s">
        <v>64</v>
      </c>
      <c r="M892">
        <f t="shared" si="26"/>
        <v>7</v>
      </c>
      <c r="N892" t="s">
        <v>27</v>
      </c>
      <c r="O892" t="s">
        <v>102</v>
      </c>
      <c r="P892" s="2">
        <v>309</v>
      </c>
      <c r="Q892" t="s">
        <v>104</v>
      </c>
      <c r="R892" t="s">
        <v>75</v>
      </c>
      <c r="S892" t="s">
        <v>50</v>
      </c>
      <c r="T892" t="s">
        <v>43</v>
      </c>
    </row>
    <row r="893" spans="1:20" x14ac:dyDescent="0.25">
      <c r="A893" s="2">
        <v>892</v>
      </c>
      <c r="B893" s="2">
        <v>91845</v>
      </c>
      <c r="C893" t="s">
        <v>33</v>
      </c>
      <c r="D893" t="s">
        <v>66</v>
      </c>
      <c r="E893" t="s">
        <v>97</v>
      </c>
      <c r="F893" t="s">
        <v>62</v>
      </c>
      <c r="G893" t="s">
        <v>78</v>
      </c>
      <c r="H893" t="s">
        <v>23</v>
      </c>
      <c r="I893" t="s">
        <v>38</v>
      </c>
      <c r="J893" t="s">
        <v>86</v>
      </c>
      <c r="K893" s="6">
        <f t="shared" si="27"/>
        <v>2</v>
      </c>
      <c r="L893" t="s">
        <v>64</v>
      </c>
      <c r="M893">
        <f t="shared" si="26"/>
        <v>7</v>
      </c>
      <c r="N893" t="s">
        <v>27</v>
      </c>
      <c r="O893" t="s">
        <v>65</v>
      </c>
      <c r="P893" s="2">
        <v>680</v>
      </c>
      <c r="Q893" t="s">
        <v>74</v>
      </c>
      <c r="R893" t="s">
        <v>30</v>
      </c>
      <c r="S893" t="s">
        <v>31</v>
      </c>
      <c r="T893" t="s">
        <v>59</v>
      </c>
    </row>
    <row r="894" spans="1:20" x14ac:dyDescent="0.25">
      <c r="A894" s="2">
        <v>893</v>
      </c>
      <c r="B894" s="2">
        <v>77825</v>
      </c>
      <c r="C894" t="s">
        <v>51</v>
      </c>
      <c r="D894" t="s">
        <v>52</v>
      </c>
      <c r="E894" t="s">
        <v>101</v>
      </c>
      <c r="F894" t="s">
        <v>80</v>
      </c>
      <c r="G894" t="s">
        <v>45</v>
      </c>
      <c r="H894" t="s">
        <v>37</v>
      </c>
      <c r="I894" t="s">
        <v>24</v>
      </c>
      <c r="J894" t="s">
        <v>57</v>
      </c>
      <c r="K894" s="6">
        <f t="shared" si="27"/>
        <v>2.4</v>
      </c>
      <c r="L894" t="s">
        <v>64</v>
      </c>
      <c r="M894">
        <f t="shared" si="26"/>
        <v>7</v>
      </c>
      <c r="N894" t="s">
        <v>27</v>
      </c>
      <c r="O894" t="s">
        <v>65</v>
      </c>
      <c r="P894" s="2">
        <v>1228</v>
      </c>
      <c r="Q894" t="s">
        <v>41</v>
      </c>
      <c r="R894" t="s">
        <v>75</v>
      </c>
      <c r="S894" t="s">
        <v>31</v>
      </c>
      <c r="T894" t="s">
        <v>32</v>
      </c>
    </row>
    <row r="895" spans="1:20" x14ac:dyDescent="0.25">
      <c r="A895" s="2">
        <v>894</v>
      </c>
      <c r="B895" s="2">
        <v>28403</v>
      </c>
      <c r="C895" t="s">
        <v>33</v>
      </c>
      <c r="D895" t="s">
        <v>66</v>
      </c>
      <c r="E895" t="s">
        <v>89</v>
      </c>
      <c r="F895" t="s">
        <v>90</v>
      </c>
      <c r="G895" t="s">
        <v>22</v>
      </c>
      <c r="H895" t="s">
        <v>46</v>
      </c>
      <c r="I895" t="s">
        <v>47</v>
      </c>
      <c r="J895" t="s">
        <v>48</v>
      </c>
      <c r="K895" s="6">
        <f t="shared" si="27"/>
        <v>1.25</v>
      </c>
      <c r="L895" t="s">
        <v>64</v>
      </c>
      <c r="M895">
        <f t="shared" si="26"/>
        <v>7</v>
      </c>
      <c r="N895" t="s">
        <v>40</v>
      </c>
      <c r="O895" t="s">
        <v>103</v>
      </c>
      <c r="P895" s="2">
        <v>468</v>
      </c>
      <c r="Q895" t="s">
        <v>74</v>
      </c>
      <c r="R895" t="s">
        <v>42</v>
      </c>
      <c r="S895" t="s">
        <v>69</v>
      </c>
      <c r="T895" t="s">
        <v>59</v>
      </c>
    </row>
    <row r="896" spans="1:20" x14ac:dyDescent="0.25">
      <c r="A896" s="2">
        <v>895</v>
      </c>
      <c r="B896" s="2">
        <v>45852</v>
      </c>
      <c r="C896" t="s">
        <v>19</v>
      </c>
      <c r="D896" t="s">
        <v>66</v>
      </c>
      <c r="E896" t="s">
        <v>79</v>
      </c>
      <c r="F896" t="s">
        <v>80</v>
      </c>
      <c r="G896" t="s">
        <v>78</v>
      </c>
      <c r="H896" t="s">
        <v>23</v>
      </c>
      <c r="I896" t="s">
        <v>24</v>
      </c>
      <c r="J896" t="s">
        <v>25</v>
      </c>
      <c r="K896" s="6">
        <f t="shared" si="27"/>
        <v>2.4</v>
      </c>
      <c r="L896" t="s">
        <v>64</v>
      </c>
      <c r="M896">
        <f t="shared" si="26"/>
        <v>7</v>
      </c>
      <c r="N896" t="s">
        <v>40</v>
      </c>
      <c r="O896" t="s">
        <v>103</v>
      </c>
      <c r="P896" s="2">
        <v>473</v>
      </c>
      <c r="Q896" t="s">
        <v>41</v>
      </c>
      <c r="R896" t="s">
        <v>75</v>
      </c>
      <c r="S896" t="s">
        <v>58</v>
      </c>
      <c r="T896" t="s">
        <v>43</v>
      </c>
    </row>
    <row r="897" spans="1:20" x14ac:dyDescent="0.25">
      <c r="A897" s="2">
        <v>896</v>
      </c>
      <c r="B897" s="2">
        <v>28460</v>
      </c>
      <c r="C897" t="s">
        <v>51</v>
      </c>
      <c r="D897" t="s">
        <v>66</v>
      </c>
      <c r="E897" t="s">
        <v>61</v>
      </c>
      <c r="F897" t="s">
        <v>62</v>
      </c>
      <c r="G897" t="s">
        <v>78</v>
      </c>
      <c r="H897" t="s">
        <v>37</v>
      </c>
      <c r="I897" t="s">
        <v>91</v>
      </c>
      <c r="J897" t="s">
        <v>57</v>
      </c>
      <c r="K897" s="6">
        <f t="shared" si="27"/>
        <v>2.2000000000000002</v>
      </c>
      <c r="L897" t="s">
        <v>64</v>
      </c>
      <c r="M897">
        <f t="shared" si="26"/>
        <v>7</v>
      </c>
      <c r="N897" t="s">
        <v>27</v>
      </c>
      <c r="O897" t="s">
        <v>103</v>
      </c>
      <c r="P897" s="2">
        <v>1691</v>
      </c>
      <c r="Q897" t="s">
        <v>41</v>
      </c>
      <c r="R897" t="s">
        <v>75</v>
      </c>
      <c r="S897" t="s">
        <v>50</v>
      </c>
      <c r="T897" t="s">
        <v>59</v>
      </c>
    </row>
    <row r="898" spans="1:20" x14ac:dyDescent="0.25">
      <c r="A898" s="2">
        <v>897</v>
      </c>
      <c r="B898" s="2">
        <v>80160</v>
      </c>
      <c r="C898" t="s">
        <v>96</v>
      </c>
      <c r="D898" t="s">
        <v>52</v>
      </c>
      <c r="E898" t="s">
        <v>44</v>
      </c>
      <c r="F898" t="s">
        <v>44</v>
      </c>
      <c r="G898" t="s">
        <v>63</v>
      </c>
      <c r="H898" t="s">
        <v>71</v>
      </c>
      <c r="I898" t="s">
        <v>56</v>
      </c>
      <c r="J898" t="s">
        <v>57</v>
      </c>
      <c r="K898" s="6">
        <f t="shared" si="27"/>
        <v>2.2000000000000002</v>
      </c>
      <c r="L898" t="s">
        <v>64</v>
      </c>
      <c r="M898">
        <f t="shared" ref="M898:M961" si="28">IF(L898="daily",7,IF(L898="weekly",3,1))</f>
        <v>7</v>
      </c>
      <c r="N898" t="s">
        <v>40</v>
      </c>
      <c r="O898" t="s">
        <v>28</v>
      </c>
      <c r="P898" s="2">
        <v>226</v>
      </c>
      <c r="Q898" t="s">
        <v>104</v>
      </c>
      <c r="R898" t="s">
        <v>75</v>
      </c>
      <c r="S898" t="s">
        <v>50</v>
      </c>
      <c r="T898" t="s">
        <v>43</v>
      </c>
    </row>
    <row r="899" spans="1:20" x14ac:dyDescent="0.25">
      <c r="A899" s="2">
        <v>898</v>
      </c>
      <c r="B899" s="2">
        <v>16858</v>
      </c>
      <c r="C899" t="s">
        <v>96</v>
      </c>
      <c r="D899" t="s">
        <v>52</v>
      </c>
      <c r="E899" t="s">
        <v>61</v>
      </c>
      <c r="F899" t="s">
        <v>62</v>
      </c>
      <c r="G899" t="s">
        <v>92</v>
      </c>
      <c r="H899" t="s">
        <v>23</v>
      </c>
      <c r="I899" t="s">
        <v>91</v>
      </c>
      <c r="J899" t="s">
        <v>57</v>
      </c>
      <c r="K899" s="6">
        <f t="shared" ref="K899:K962" si="29">IF(R899="Morning",2,IF(R899="Night",2,IF(R899="Evening",1,0.5)))
*
IF(I899="Espresso",0.75,IF(I899="Cold Brew",1.25,IF(I899="Filter Coffee",1.2,IF(I899="Instant Coffee",1,1.1))))</f>
        <v>1.1000000000000001</v>
      </c>
      <c r="L899" t="s">
        <v>49</v>
      </c>
      <c r="M899">
        <f t="shared" si="28"/>
        <v>3</v>
      </c>
      <c r="N899" t="s">
        <v>40</v>
      </c>
      <c r="O899" t="s">
        <v>28</v>
      </c>
      <c r="P899" s="2">
        <v>736</v>
      </c>
      <c r="Q899" t="s">
        <v>74</v>
      </c>
      <c r="R899" t="s">
        <v>42</v>
      </c>
      <c r="S899" t="s">
        <v>58</v>
      </c>
      <c r="T899" t="s">
        <v>59</v>
      </c>
    </row>
    <row r="900" spans="1:20" x14ac:dyDescent="0.25">
      <c r="A900" s="2">
        <v>899</v>
      </c>
      <c r="B900" s="2">
        <v>32809</v>
      </c>
      <c r="C900" t="s">
        <v>19</v>
      </c>
      <c r="D900" t="s">
        <v>66</v>
      </c>
      <c r="E900" t="s">
        <v>101</v>
      </c>
      <c r="F900" t="s">
        <v>80</v>
      </c>
      <c r="G900" t="s">
        <v>36</v>
      </c>
      <c r="H900" t="s">
        <v>37</v>
      </c>
      <c r="I900" t="s">
        <v>67</v>
      </c>
      <c r="J900" t="s">
        <v>86</v>
      </c>
      <c r="K900" s="6">
        <f t="shared" si="29"/>
        <v>1.1000000000000001</v>
      </c>
      <c r="L900" t="s">
        <v>26</v>
      </c>
      <c r="M900">
        <f t="shared" si="28"/>
        <v>1</v>
      </c>
      <c r="N900" t="s">
        <v>27</v>
      </c>
      <c r="O900" t="s">
        <v>102</v>
      </c>
      <c r="P900" s="2">
        <v>2483</v>
      </c>
      <c r="Q900" t="s">
        <v>74</v>
      </c>
      <c r="R900" t="s">
        <v>42</v>
      </c>
      <c r="S900" t="s">
        <v>69</v>
      </c>
      <c r="T900" t="s">
        <v>32</v>
      </c>
    </row>
    <row r="901" spans="1:20" x14ac:dyDescent="0.25">
      <c r="A901" s="2">
        <v>900</v>
      </c>
      <c r="B901" s="2">
        <v>22573</v>
      </c>
      <c r="C901" t="s">
        <v>51</v>
      </c>
      <c r="D901" t="s">
        <v>52</v>
      </c>
      <c r="E901" t="s">
        <v>61</v>
      </c>
      <c r="F901" t="s">
        <v>62</v>
      </c>
      <c r="G901" t="s">
        <v>81</v>
      </c>
      <c r="H901" t="s">
        <v>23</v>
      </c>
      <c r="I901" t="s">
        <v>94</v>
      </c>
      <c r="J901" t="s">
        <v>25</v>
      </c>
      <c r="K901" s="6">
        <f t="shared" si="29"/>
        <v>0.75</v>
      </c>
      <c r="L901" t="s">
        <v>64</v>
      </c>
      <c r="M901">
        <f t="shared" si="28"/>
        <v>7</v>
      </c>
      <c r="N901" t="s">
        <v>27</v>
      </c>
      <c r="O901" t="s">
        <v>103</v>
      </c>
      <c r="P901" s="2">
        <v>834</v>
      </c>
      <c r="Q901" t="s">
        <v>29</v>
      </c>
      <c r="R901" t="s">
        <v>42</v>
      </c>
      <c r="S901" t="s">
        <v>50</v>
      </c>
      <c r="T901" t="s">
        <v>59</v>
      </c>
    </row>
    <row r="902" spans="1:20" x14ac:dyDescent="0.25">
      <c r="A902" s="2">
        <v>901</v>
      </c>
      <c r="B902" s="2">
        <v>57927</v>
      </c>
      <c r="C902" t="s">
        <v>51</v>
      </c>
      <c r="D902" t="s">
        <v>66</v>
      </c>
      <c r="E902" t="s">
        <v>101</v>
      </c>
      <c r="F902" t="s">
        <v>80</v>
      </c>
      <c r="G902" t="s">
        <v>70</v>
      </c>
      <c r="H902" t="s">
        <v>23</v>
      </c>
      <c r="I902" t="s">
        <v>94</v>
      </c>
      <c r="J902" t="s">
        <v>48</v>
      </c>
      <c r="K902" s="6">
        <f t="shared" si="29"/>
        <v>0.375</v>
      </c>
      <c r="L902" t="s">
        <v>64</v>
      </c>
      <c r="M902">
        <f t="shared" si="28"/>
        <v>7</v>
      </c>
      <c r="N902" t="s">
        <v>27</v>
      </c>
      <c r="O902" t="s">
        <v>28</v>
      </c>
      <c r="P902" s="2">
        <v>537</v>
      </c>
      <c r="Q902" t="s">
        <v>29</v>
      </c>
      <c r="R902" t="s">
        <v>68</v>
      </c>
      <c r="S902" t="s">
        <v>31</v>
      </c>
      <c r="T902" t="s">
        <v>32</v>
      </c>
    </row>
    <row r="903" spans="1:20" x14ac:dyDescent="0.25">
      <c r="A903" s="2">
        <v>902</v>
      </c>
      <c r="B903" s="2">
        <v>19225</v>
      </c>
      <c r="C903" t="s">
        <v>60</v>
      </c>
      <c r="D903" t="s">
        <v>66</v>
      </c>
      <c r="E903" t="s">
        <v>93</v>
      </c>
      <c r="F903" t="s">
        <v>62</v>
      </c>
      <c r="G903" t="s">
        <v>22</v>
      </c>
      <c r="H903" t="s">
        <v>37</v>
      </c>
      <c r="I903" t="s">
        <v>67</v>
      </c>
      <c r="J903" t="s">
        <v>25</v>
      </c>
      <c r="K903" s="6">
        <f t="shared" si="29"/>
        <v>2.2000000000000002</v>
      </c>
      <c r="L903" t="s">
        <v>64</v>
      </c>
      <c r="M903">
        <f t="shared" si="28"/>
        <v>7</v>
      </c>
      <c r="N903" t="s">
        <v>27</v>
      </c>
      <c r="O903" t="s">
        <v>102</v>
      </c>
      <c r="P903" s="2">
        <v>2053</v>
      </c>
      <c r="Q903" t="s">
        <v>29</v>
      </c>
      <c r="R903" t="s">
        <v>30</v>
      </c>
      <c r="S903" t="s">
        <v>58</v>
      </c>
      <c r="T903" t="s">
        <v>43</v>
      </c>
    </row>
    <row r="904" spans="1:20" x14ac:dyDescent="0.25">
      <c r="A904" s="2">
        <v>903</v>
      </c>
      <c r="B904" s="2">
        <v>12990</v>
      </c>
      <c r="C904" t="s">
        <v>51</v>
      </c>
      <c r="D904" t="s">
        <v>52</v>
      </c>
      <c r="E904" t="s">
        <v>20</v>
      </c>
      <c r="F904" t="s">
        <v>21</v>
      </c>
      <c r="G904" t="s">
        <v>55</v>
      </c>
      <c r="H904" t="s">
        <v>46</v>
      </c>
      <c r="I904" t="s">
        <v>24</v>
      </c>
      <c r="J904" t="s">
        <v>25</v>
      </c>
      <c r="K904" s="6">
        <f t="shared" si="29"/>
        <v>2.4</v>
      </c>
      <c r="L904" t="s">
        <v>64</v>
      </c>
      <c r="M904">
        <f t="shared" si="28"/>
        <v>7</v>
      </c>
      <c r="N904" t="s">
        <v>40</v>
      </c>
      <c r="O904" t="s">
        <v>28</v>
      </c>
      <c r="P904" s="2">
        <v>345</v>
      </c>
      <c r="Q904" t="s">
        <v>41</v>
      </c>
      <c r="R904" t="s">
        <v>75</v>
      </c>
      <c r="S904" t="s">
        <v>31</v>
      </c>
      <c r="T904" t="s">
        <v>32</v>
      </c>
    </row>
    <row r="905" spans="1:20" x14ac:dyDescent="0.25">
      <c r="A905" s="2">
        <v>904</v>
      </c>
      <c r="B905" s="2">
        <v>19265</v>
      </c>
      <c r="C905" t="s">
        <v>51</v>
      </c>
      <c r="D905" t="s">
        <v>52</v>
      </c>
      <c r="E905" t="s">
        <v>89</v>
      </c>
      <c r="F905" t="s">
        <v>90</v>
      </c>
      <c r="G905" t="s">
        <v>45</v>
      </c>
      <c r="H905" t="s">
        <v>46</v>
      </c>
      <c r="I905" t="s">
        <v>56</v>
      </c>
      <c r="J905" t="s">
        <v>25</v>
      </c>
      <c r="K905" s="6">
        <f t="shared" si="29"/>
        <v>0.55000000000000004</v>
      </c>
      <c r="L905" t="s">
        <v>49</v>
      </c>
      <c r="M905">
        <f t="shared" si="28"/>
        <v>3</v>
      </c>
      <c r="N905" t="s">
        <v>27</v>
      </c>
      <c r="O905" t="s">
        <v>82</v>
      </c>
      <c r="P905" s="2">
        <v>569</v>
      </c>
      <c r="Q905" t="s">
        <v>29</v>
      </c>
      <c r="R905" t="s">
        <v>68</v>
      </c>
      <c r="S905" t="s">
        <v>58</v>
      </c>
      <c r="T905" t="s">
        <v>59</v>
      </c>
    </row>
    <row r="906" spans="1:20" x14ac:dyDescent="0.25">
      <c r="A906" s="2">
        <v>905</v>
      </c>
      <c r="B906" s="2">
        <v>95924</v>
      </c>
      <c r="C906" t="s">
        <v>19</v>
      </c>
      <c r="D906" t="s">
        <v>52</v>
      </c>
      <c r="E906" t="s">
        <v>61</v>
      </c>
      <c r="F906" t="s">
        <v>62</v>
      </c>
      <c r="G906" t="s">
        <v>36</v>
      </c>
      <c r="H906" t="s">
        <v>23</v>
      </c>
      <c r="I906" t="s">
        <v>67</v>
      </c>
      <c r="J906" t="s">
        <v>48</v>
      </c>
      <c r="K906" s="6">
        <f t="shared" si="29"/>
        <v>2.2000000000000002</v>
      </c>
      <c r="L906" t="s">
        <v>64</v>
      </c>
      <c r="M906">
        <f t="shared" si="28"/>
        <v>7</v>
      </c>
      <c r="N906" t="s">
        <v>27</v>
      </c>
      <c r="O906" t="s">
        <v>28</v>
      </c>
      <c r="P906" s="2">
        <v>725</v>
      </c>
      <c r="Q906" t="s">
        <v>41</v>
      </c>
      <c r="R906" t="s">
        <v>30</v>
      </c>
      <c r="S906" t="s">
        <v>50</v>
      </c>
      <c r="T906" t="s">
        <v>59</v>
      </c>
    </row>
    <row r="907" spans="1:20" x14ac:dyDescent="0.25">
      <c r="A907" s="2">
        <v>906</v>
      </c>
      <c r="B907" s="2">
        <v>18914</v>
      </c>
      <c r="C907" t="s">
        <v>60</v>
      </c>
      <c r="D907" t="s">
        <v>52</v>
      </c>
      <c r="E907" t="s">
        <v>61</v>
      </c>
      <c r="F907" t="s">
        <v>62</v>
      </c>
      <c r="G907" t="s">
        <v>22</v>
      </c>
      <c r="H907" t="s">
        <v>23</v>
      </c>
      <c r="I907" t="s">
        <v>91</v>
      </c>
      <c r="J907" t="s">
        <v>48</v>
      </c>
      <c r="K907" s="6">
        <f t="shared" si="29"/>
        <v>2.2000000000000002</v>
      </c>
      <c r="L907" t="s">
        <v>64</v>
      </c>
      <c r="M907">
        <f t="shared" si="28"/>
        <v>7</v>
      </c>
      <c r="N907" t="s">
        <v>104</v>
      </c>
      <c r="O907" t="s">
        <v>103</v>
      </c>
      <c r="P907" s="2">
        <v>793</v>
      </c>
      <c r="Q907" t="s">
        <v>104</v>
      </c>
      <c r="R907" t="s">
        <v>75</v>
      </c>
      <c r="S907" t="s">
        <v>50</v>
      </c>
      <c r="T907" t="s">
        <v>59</v>
      </c>
    </row>
    <row r="908" spans="1:20" x14ac:dyDescent="0.25">
      <c r="A908" s="2">
        <v>907</v>
      </c>
      <c r="B908" s="2">
        <v>14294</v>
      </c>
      <c r="C908" t="s">
        <v>51</v>
      </c>
      <c r="D908" t="s">
        <v>52</v>
      </c>
      <c r="E908" t="s">
        <v>84</v>
      </c>
      <c r="F908" t="s">
        <v>85</v>
      </c>
      <c r="G908" t="s">
        <v>63</v>
      </c>
      <c r="H908" t="s">
        <v>37</v>
      </c>
      <c r="I908" t="s">
        <v>47</v>
      </c>
      <c r="J908" t="s">
        <v>57</v>
      </c>
      <c r="K908" s="6">
        <f t="shared" si="29"/>
        <v>1.25</v>
      </c>
      <c r="L908" t="s">
        <v>26</v>
      </c>
      <c r="M908">
        <f t="shared" si="28"/>
        <v>1</v>
      </c>
      <c r="N908" t="s">
        <v>104</v>
      </c>
      <c r="O908" t="s">
        <v>65</v>
      </c>
      <c r="P908" s="2">
        <v>1644</v>
      </c>
      <c r="Q908" t="s">
        <v>41</v>
      </c>
      <c r="R908" t="s">
        <v>42</v>
      </c>
      <c r="S908" t="s">
        <v>50</v>
      </c>
      <c r="T908" t="s">
        <v>32</v>
      </c>
    </row>
    <row r="909" spans="1:20" x14ac:dyDescent="0.25">
      <c r="A909" s="2">
        <v>908</v>
      </c>
      <c r="B909" s="2">
        <v>52109</v>
      </c>
      <c r="C909" t="s">
        <v>51</v>
      </c>
      <c r="D909" t="s">
        <v>66</v>
      </c>
      <c r="E909" t="s">
        <v>95</v>
      </c>
      <c r="F909" t="s">
        <v>21</v>
      </c>
      <c r="G909" t="s">
        <v>63</v>
      </c>
      <c r="H909" t="s">
        <v>46</v>
      </c>
      <c r="I909" t="s">
        <v>24</v>
      </c>
      <c r="J909" t="s">
        <v>25</v>
      </c>
      <c r="K909" s="6">
        <f t="shared" si="29"/>
        <v>2.4</v>
      </c>
      <c r="L909" t="s">
        <v>26</v>
      </c>
      <c r="M909">
        <f t="shared" si="28"/>
        <v>1</v>
      </c>
      <c r="N909" t="s">
        <v>27</v>
      </c>
      <c r="O909" t="s">
        <v>103</v>
      </c>
      <c r="P909" s="2">
        <v>483</v>
      </c>
      <c r="Q909" t="s">
        <v>41</v>
      </c>
      <c r="R909" t="s">
        <v>30</v>
      </c>
      <c r="S909" t="s">
        <v>69</v>
      </c>
      <c r="T909" t="s">
        <v>43</v>
      </c>
    </row>
    <row r="910" spans="1:20" x14ac:dyDescent="0.25">
      <c r="A910" s="2">
        <v>909</v>
      </c>
      <c r="B910" s="2">
        <v>58507</v>
      </c>
      <c r="C910" t="s">
        <v>33</v>
      </c>
      <c r="D910" t="s">
        <v>52</v>
      </c>
      <c r="E910" t="s">
        <v>99</v>
      </c>
      <c r="F910" t="s">
        <v>100</v>
      </c>
      <c r="G910" t="s">
        <v>78</v>
      </c>
      <c r="H910" t="s">
        <v>23</v>
      </c>
      <c r="I910" t="s">
        <v>47</v>
      </c>
      <c r="J910" t="s">
        <v>48</v>
      </c>
      <c r="K910" s="6">
        <f t="shared" si="29"/>
        <v>2.5</v>
      </c>
      <c r="L910" t="s">
        <v>49</v>
      </c>
      <c r="M910">
        <f t="shared" si="28"/>
        <v>3</v>
      </c>
      <c r="N910" t="s">
        <v>40</v>
      </c>
      <c r="O910" t="s">
        <v>102</v>
      </c>
      <c r="P910" s="2">
        <v>849</v>
      </c>
      <c r="Q910" t="s">
        <v>29</v>
      </c>
      <c r="R910" t="s">
        <v>30</v>
      </c>
      <c r="S910" t="s">
        <v>50</v>
      </c>
      <c r="T910" t="s">
        <v>32</v>
      </c>
    </row>
    <row r="911" spans="1:20" x14ac:dyDescent="0.25">
      <c r="A911" s="2">
        <v>910</v>
      </c>
      <c r="B911" s="2">
        <v>61671</v>
      </c>
      <c r="C911" t="s">
        <v>33</v>
      </c>
      <c r="D911" t="s">
        <v>52</v>
      </c>
      <c r="E911" t="s">
        <v>20</v>
      </c>
      <c r="F911" t="s">
        <v>21</v>
      </c>
      <c r="G911" t="s">
        <v>36</v>
      </c>
      <c r="H911" t="s">
        <v>73</v>
      </c>
      <c r="I911" t="s">
        <v>24</v>
      </c>
      <c r="J911" t="s">
        <v>25</v>
      </c>
      <c r="K911" s="6">
        <f t="shared" si="29"/>
        <v>0.6</v>
      </c>
      <c r="L911" t="s">
        <v>26</v>
      </c>
      <c r="M911">
        <f t="shared" si="28"/>
        <v>1</v>
      </c>
      <c r="N911" t="s">
        <v>104</v>
      </c>
      <c r="O911" t="s">
        <v>103</v>
      </c>
      <c r="P911" s="2">
        <v>1103</v>
      </c>
      <c r="Q911" t="s">
        <v>41</v>
      </c>
      <c r="R911" t="s">
        <v>68</v>
      </c>
      <c r="S911" t="s">
        <v>69</v>
      </c>
      <c r="T911" t="s">
        <v>32</v>
      </c>
    </row>
    <row r="912" spans="1:20" x14ac:dyDescent="0.25">
      <c r="A912" s="2">
        <v>911</v>
      </c>
      <c r="B912" s="2">
        <v>21528</v>
      </c>
      <c r="C912" t="s">
        <v>60</v>
      </c>
      <c r="D912" t="s">
        <v>52</v>
      </c>
      <c r="E912" t="s">
        <v>20</v>
      </c>
      <c r="F912" t="s">
        <v>21</v>
      </c>
      <c r="G912" t="s">
        <v>98</v>
      </c>
      <c r="H912" t="s">
        <v>71</v>
      </c>
      <c r="I912" t="s">
        <v>38</v>
      </c>
      <c r="J912" t="s">
        <v>25</v>
      </c>
      <c r="K912" s="6">
        <f t="shared" si="29"/>
        <v>1</v>
      </c>
      <c r="L912" t="s">
        <v>26</v>
      </c>
      <c r="M912">
        <f t="shared" si="28"/>
        <v>1</v>
      </c>
      <c r="N912" t="s">
        <v>40</v>
      </c>
      <c r="O912" t="s">
        <v>28</v>
      </c>
      <c r="P912" s="2">
        <v>265</v>
      </c>
      <c r="Q912" t="s">
        <v>41</v>
      </c>
      <c r="R912" t="s">
        <v>42</v>
      </c>
      <c r="S912" t="s">
        <v>31</v>
      </c>
      <c r="T912" t="s">
        <v>32</v>
      </c>
    </row>
    <row r="913" spans="1:20" x14ac:dyDescent="0.25">
      <c r="A913" s="2">
        <v>912</v>
      </c>
      <c r="B913" s="2">
        <v>53022</v>
      </c>
      <c r="C913" t="s">
        <v>96</v>
      </c>
      <c r="D913" t="s">
        <v>52</v>
      </c>
      <c r="E913" t="s">
        <v>20</v>
      </c>
      <c r="F913" t="s">
        <v>21</v>
      </c>
      <c r="G913" t="s">
        <v>45</v>
      </c>
      <c r="H913" t="s">
        <v>46</v>
      </c>
      <c r="I913" t="s">
        <v>47</v>
      </c>
      <c r="J913" t="s">
        <v>57</v>
      </c>
      <c r="K913" s="6">
        <f t="shared" si="29"/>
        <v>1.25</v>
      </c>
      <c r="L913" t="s">
        <v>64</v>
      </c>
      <c r="M913">
        <f t="shared" si="28"/>
        <v>7</v>
      </c>
      <c r="N913" t="s">
        <v>40</v>
      </c>
      <c r="O913" t="s">
        <v>82</v>
      </c>
      <c r="P913" s="2">
        <v>401</v>
      </c>
      <c r="Q913" t="s">
        <v>104</v>
      </c>
      <c r="R913" t="s">
        <v>42</v>
      </c>
      <c r="S913" t="s">
        <v>31</v>
      </c>
      <c r="T913" t="s">
        <v>32</v>
      </c>
    </row>
    <row r="914" spans="1:20" x14ac:dyDescent="0.25">
      <c r="A914" s="2">
        <v>913</v>
      </c>
      <c r="B914" s="2">
        <v>29697</v>
      </c>
      <c r="C914" t="s">
        <v>60</v>
      </c>
      <c r="D914" t="s">
        <v>52</v>
      </c>
      <c r="E914" t="s">
        <v>84</v>
      </c>
      <c r="F914" t="s">
        <v>85</v>
      </c>
      <c r="G914" t="s">
        <v>22</v>
      </c>
      <c r="H914" t="s">
        <v>46</v>
      </c>
      <c r="I914" t="s">
        <v>94</v>
      </c>
      <c r="J914" t="s">
        <v>57</v>
      </c>
      <c r="K914" s="6">
        <f t="shared" si="29"/>
        <v>1.5</v>
      </c>
      <c r="L914" t="s">
        <v>64</v>
      </c>
      <c r="M914">
        <f t="shared" si="28"/>
        <v>7</v>
      </c>
      <c r="N914" t="s">
        <v>27</v>
      </c>
      <c r="O914" t="s">
        <v>72</v>
      </c>
      <c r="P914" s="2">
        <v>466</v>
      </c>
      <c r="Q914" t="s">
        <v>74</v>
      </c>
      <c r="R914" t="s">
        <v>30</v>
      </c>
      <c r="S914" t="s">
        <v>50</v>
      </c>
      <c r="T914" t="s">
        <v>32</v>
      </c>
    </row>
    <row r="915" spans="1:20" x14ac:dyDescent="0.25">
      <c r="A915" s="2">
        <v>914</v>
      </c>
      <c r="B915" s="2">
        <v>16870</v>
      </c>
      <c r="C915" t="s">
        <v>51</v>
      </c>
      <c r="D915" t="s">
        <v>66</v>
      </c>
      <c r="E915" t="s">
        <v>61</v>
      </c>
      <c r="F915" t="s">
        <v>62</v>
      </c>
      <c r="G915" t="s">
        <v>92</v>
      </c>
      <c r="H915" t="s">
        <v>73</v>
      </c>
      <c r="I915" t="s">
        <v>38</v>
      </c>
      <c r="J915" t="s">
        <v>57</v>
      </c>
      <c r="K915" s="6">
        <f t="shared" si="29"/>
        <v>0.5</v>
      </c>
      <c r="L915" t="s">
        <v>64</v>
      </c>
      <c r="M915">
        <f t="shared" si="28"/>
        <v>7</v>
      </c>
      <c r="N915" t="s">
        <v>27</v>
      </c>
      <c r="O915" t="s">
        <v>103</v>
      </c>
      <c r="P915" s="2">
        <v>881</v>
      </c>
      <c r="Q915" t="s">
        <v>104</v>
      </c>
      <c r="R915" t="s">
        <v>68</v>
      </c>
      <c r="S915" t="s">
        <v>69</v>
      </c>
      <c r="T915" t="s">
        <v>59</v>
      </c>
    </row>
    <row r="916" spans="1:20" x14ac:dyDescent="0.25">
      <c r="A916" s="2">
        <v>915</v>
      </c>
      <c r="B916" s="2">
        <v>68026</v>
      </c>
      <c r="C916" t="s">
        <v>60</v>
      </c>
      <c r="D916" t="s">
        <v>52</v>
      </c>
      <c r="E916" t="s">
        <v>93</v>
      </c>
      <c r="F916" t="s">
        <v>62</v>
      </c>
      <c r="G916" t="s">
        <v>22</v>
      </c>
      <c r="H916" t="s">
        <v>73</v>
      </c>
      <c r="I916" t="s">
        <v>38</v>
      </c>
      <c r="J916" t="s">
        <v>57</v>
      </c>
      <c r="K916" s="6">
        <f t="shared" si="29"/>
        <v>1</v>
      </c>
      <c r="L916" t="s">
        <v>64</v>
      </c>
      <c r="M916">
        <f t="shared" si="28"/>
        <v>7</v>
      </c>
      <c r="N916" t="s">
        <v>104</v>
      </c>
      <c r="O916" t="s">
        <v>28</v>
      </c>
      <c r="P916" s="2">
        <v>880</v>
      </c>
      <c r="Q916" t="s">
        <v>41</v>
      </c>
      <c r="R916" t="s">
        <v>42</v>
      </c>
      <c r="S916" t="s">
        <v>69</v>
      </c>
      <c r="T916" t="s">
        <v>43</v>
      </c>
    </row>
    <row r="917" spans="1:20" x14ac:dyDescent="0.25">
      <c r="A917" s="2">
        <v>916</v>
      </c>
      <c r="B917" s="2">
        <v>77813</v>
      </c>
      <c r="C917" t="s">
        <v>33</v>
      </c>
      <c r="D917" t="s">
        <v>52</v>
      </c>
      <c r="E917" t="s">
        <v>84</v>
      </c>
      <c r="F917" t="s">
        <v>85</v>
      </c>
      <c r="G917" t="s">
        <v>92</v>
      </c>
      <c r="H917" t="s">
        <v>23</v>
      </c>
      <c r="I917" t="s">
        <v>94</v>
      </c>
      <c r="J917" t="s">
        <v>57</v>
      </c>
      <c r="K917" s="6">
        <f t="shared" si="29"/>
        <v>1.5</v>
      </c>
      <c r="L917" t="s">
        <v>64</v>
      </c>
      <c r="M917">
        <f t="shared" si="28"/>
        <v>7</v>
      </c>
      <c r="N917" t="s">
        <v>40</v>
      </c>
      <c r="O917" t="s">
        <v>82</v>
      </c>
      <c r="P917" s="2">
        <v>853</v>
      </c>
      <c r="Q917" t="s">
        <v>104</v>
      </c>
      <c r="R917" t="s">
        <v>75</v>
      </c>
      <c r="S917" t="s">
        <v>58</v>
      </c>
      <c r="T917" t="s">
        <v>32</v>
      </c>
    </row>
    <row r="918" spans="1:20" x14ac:dyDescent="0.25">
      <c r="A918" s="2">
        <v>917</v>
      </c>
      <c r="B918" s="2">
        <v>86134</v>
      </c>
      <c r="C918" t="s">
        <v>51</v>
      </c>
      <c r="D918" t="s">
        <v>66</v>
      </c>
      <c r="E918" t="s">
        <v>101</v>
      </c>
      <c r="F918" t="s">
        <v>80</v>
      </c>
      <c r="G918" t="s">
        <v>81</v>
      </c>
      <c r="H918" t="s">
        <v>46</v>
      </c>
      <c r="I918" t="s">
        <v>47</v>
      </c>
      <c r="J918" t="s">
        <v>25</v>
      </c>
      <c r="K918" s="6">
        <f t="shared" si="29"/>
        <v>0.625</v>
      </c>
      <c r="L918" t="s">
        <v>49</v>
      </c>
      <c r="M918">
        <f t="shared" si="28"/>
        <v>3</v>
      </c>
      <c r="N918" t="s">
        <v>40</v>
      </c>
      <c r="O918" t="s">
        <v>28</v>
      </c>
      <c r="P918" s="2">
        <v>431</v>
      </c>
      <c r="Q918" t="s">
        <v>41</v>
      </c>
      <c r="R918" t="s">
        <v>68</v>
      </c>
      <c r="S918" t="s">
        <v>31</v>
      </c>
      <c r="T918" t="s">
        <v>32</v>
      </c>
    </row>
    <row r="919" spans="1:20" x14ac:dyDescent="0.25">
      <c r="A919" s="2">
        <v>918</v>
      </c>
      <c r="B919" s="2">
        <v>10313</v>
      </c>
      <c r="C919" t="s">
        <v>19</v>
      </c>
      <c r="D919" t="s">
        <v>52</v>
      </c>
      <c r="E919" t="s">
        <v>79</v>
      </c>
      <c r="F919" t="s">
        <v>80</v>
      </c>
      <c r="G919" t="s">
        <v>70</v>
      </c>
      <c r="H919" t="s">
        <v>46</v>
      </c>
      <c r="I919" t="s">
        <v>24</v>
      </c>
      <c r="J919" t="s">
        <v>25</v>
      </c>
      <c r="K919" s="6">
        <f t="shared" si="29"/>
        <v>1.2</v>
      </c>
      <c r="L919" t="s">
        <v>49</v>
      </c>
      <c r="M919">
        <f t="shared" si="28"/>
        <v>3</v>
      </c>
      <c r="N919" t="s">
        <v>40</v>
      </c>
      <c r="O919" t="s">
        <v>82</v>
      </c>
      <c r="P919" s="2">
        <v>430</v>
      </c>
      <c r="Q919" t="s">
        <v>29</v>
      </c>
      <c r="R919" t="s">
        <v>42</v>
      </c>
      <c r="S919" t="s">
        <v>31</v>
      </c>
      <c r="T919" t="s">
        <v>43</v>
      </c>
    </row>
    <row r="920" spans="1:20" x14ac:dyDescent="0.25">
      <c r="A920" s="2">
        <v>919</v>
      </c>
      <c r="B920" s="2">
        <v>63362</v>
      </c>
      <c r="C920" t="s">
        <v>33</v>
      </c>
      <c r="D920" t="s">
        <v>52</v>
      </c>
      <c r="E920" t="s">
        <v>87</v>
      </c>
      <c r="F920" t="s">
        <v>88</v>
      </c>
      <c r="G920" t="s">
        <v>92</v>
      </c>
      <c r="H920" t="s">
        <v>23</v>
      </c>
      <c r="I920" t="s">
        <v>67</v>
      </c>
      <c r="J920" t="s">
        <v>57</v>
      </c>
      <c r="K920" s="6">
        <f t="shared" si="29"/>
        <v>0.55000000000000004</v>
      </c>
      <c r="L920" t="s">
        <v>64</v>
      </c>
      <c r="M920">
        <f t="shared" si="28"/>
        <v>7</v>
      </c>
      <c r="N920" t="s">
        <v>104</v>
      </c>
      <c r="O920" t="s">
        <v>65</v>
      </c>
      <c r="P920" s="2">
        <v>724</v>
      </c>
      <c r="Q920" t="s">
        <v>104</v>
      </c>
      <c r="R920" t="s">
        <v>68</v>
      </c>
      <c r="S920" t="s">
        <v>50</v>
      </c>
      <c r="T920" t="s">
        <v>59</v>
      </c>
    </row>
    <row r="921" spans="1:20" x14ac:dyDescent="0.25">
      <c r="A921" s="2">
        <v>920</v>
      </c>
      <c r="B921" s="2">
        <v>40842</v>
      </c>
      <c r="C921" t="s">
        <v>33</v>
      </c>
      <c r="D921" t="s">
        <v>52</v>
      </c>
      <c r="E921" t="s">
        <v>97</v>
      </c>
      <c r="F921" t="s">
        <v>62</v>
      </c>
      <c r="G921" t="s">
        <v>92</v>
      </c>
      <c r="H921" t="s">
        <v>46</v>
      </c>
      <c r="I921" t="s">
        <v>94</v>
      </c>
      <c r="J921" t="s">
        <v>57</v>
      </c>
      <c r="K921" s="6">
        <f t="shared" si="29"/>
        <v>0.75</v>
      </c>
      <c r="L921" t="s">
        <v>49</v>
      </c>
      <c r="M921">
        <f t="shared" si="28"/>
        <v>3</v>
      </c>
      <c r="N921" t="s">
        <v>40</v>
      </c>
      <c r="O921" t="s">
        <v>28</v>
      </c>
      <c r="P921" s="2">
        <v>284</v>
      </c>
      <c r="Q921" t="s">
        <v>104</v>
      </c>
      <c r="R921" t="s">
        <v>42</v>
      </c>
      <c r="S921" t="s">
        <v>50</v>
      </c>
      <c r="T921" t="s">
        <v>59</v>
      </c>
    </row>
    <row r="922" spans="1:20" x14ac:dyDescent="0.25">
      <c r="A922" s="2">
        <v>921</v>
      </c>
      <c r="B922" s="2">
        <v>51034</v>
      </c>
      <c r="C922" t="s">
        <v>60</v>
      </c>
      <c r="D922" t="s">
        <v>52</v>
      </c>
      <c r="E922" t="s">
        <v>87</v>
      </c>
      <c r="F922" t="s">
        <v>88</v>
      </c>
      <c r="G922" t="s">
        <v>70</v>
      </c>
      <c r="H922" t="s">
        <v>46</v>
      </c>
      <c r="I922" t="s">
        <v>24</v>
      </c>
      <c r="J922" t="s">
        <v>25</v>
      </c>
      <c r="K922" s="6">
        <f t="shared" si="29"/>
        <v>1.2</v>
      </c>
      <c r="L922" t="s">
        <v>26</v>
      </c>
      <c r="M922">
        <f t="shared" si="28"/>
        <v>1</v>
      </c>
      <c r="N922" t="s">
        <v>40</v>
      </c>
      <c r="O922" t="s">
        <v>102</v>
      </c>
      <c r="P922" s="2">
        <v>510</v>
      </c>
      <c r="Q922" t="s">
        <v>74</v>
      </c>
      <c r="R922" t="s">
        <v>42</v>
      </c>
      <c r="S922" t="s">
        <v>69</v>
      </c>
      <c r="T922" t="s">
        <v>59</v>
      </c>
    </row>
    <row r="923" spans="1:20" x14ac:dyDescent="0.25">
      <c r="A923" s="2">
        <v>922</v>
      </c>
      <c r="B923" s="2">
        <v>61505</v>
      </c>
      <c r="C923" t="s">
        <v>60</v>
      </c>
      <c r="D923" t="s">
        <v>66</v>
      </c>
      <c r="E923" t="s">
        <v>84</v>
      </c>
      <c r="F923" t="s">
        <v>85</v>
      </c>
      <c r="G923" t="s">
        <v>36</v>
      </c>
      <c r="H923" t="s">
        <v>46</v>
      </c>
      <c r="I923" t="s">
        <v>67</v>
      </c>
      <c r="J923" t="s">
        <v>57</v>
      </c>
      <c r="K923" s="6">
        <f t="shared" si="29"/>
        <v>2.2000000000000002</v>
      </c>
      <c r="L923" t="s">
        <v>64</v>
      </c>
      <c r="M923">
        <f t="shared" si="28"/>
        <v>7</v>
      </c>
      <c r="N923" t="s">
        <v>40</v>
      </c>
      <c r="O923" t="s">
        <v>103</v>
      </c>
      <c r="P923" s="2">
        <v>521</v>
      </c>
      <c r="Q923" t="s">
        <v>41</v>
      </c>
      <c r="R923" t="s">
        <v>75</v>
      </c>
      <c r="S923" t="s">
        <v>58</v>
      </c>
      <c r="T923" t="s">
        <v>32</v>
      </c>
    </row>
    <row r="924" spans="1:20" x14ac:dyDescent="0.25">
      <c r="A924" s="2">
        <v>923</v>
      </c>
      <c r="B924" s="2">
        <v>44412</v>
      </c>
      <c r="C924" t="s">
        <v>96</v>
      </c>
      <c r="D924" t="s">
        <v>66</v>
      </c>
      <c r="E924" t="s">
        <v>20</v>
      </c>
      <c r="F924" t="s">
        <v>21</v>
      </c>
      <c r="G924" t="s">
        <v>70</v>
      </c>
      <c r="H924" t="s">
        <v>23</v>
      </c>
      <c r="I924" t="s">
        <v>83</v>
      </c>
      <c r="J924" t="s">
        <v>57</v>
      </c>
      <c r="K924" s="6">
        <f t="shared" si="29"/>
        <v>2.2000000000000002</v>
      </c>
      <c r="L924" t="s">
        <v>49</v>
      </c>
      <c r="M924">
        <f t="shared" si="28"/>
        <v>3</v>
      </c>
      <c r="N924" t="s">
        <v>27</v>
      </c>
      <c r="O924" t="s">
        <v>28</v>
      </c>
      <c r="P924" s="2">
        <v>532</v>
      </c>
      <c r="Q924" t="s">
        <v>104</v>
      </c>
      <c r="R924" t="s">
        <v>75</v>
      </c>
      <c r="S924" t="s">
        <v>31</v>
      </c>
      <c r="T924" t="s">
        <v>32</v>
      </c>
    </row>
    <row r="925" spans="1:20" x14ac:dyDescent="0.25">
      <c r="A925" s="2">
        <v>924</v>
      </c>
      <c r="B925" s="2">
        <v>48692</v>
      </c>
      <c r="C925" t="s">
        <v>33</v>
      </c>
      <c r="D925" t="s">
        <v>66</v>
      </c>
      <c r="E925" t="s">
        <v>97</v>
      </c>
      <c r="F925" t="s">
        <v>62</v>
      </c>
      <c r="G925" t="s">
        <v>22</v>
      </c>
      <c r="H925" t="s">
        <v>71</v>
      </c>
      <c r="I925" t="s">
        <v>91</v>
      </c>
      <c r="J925" t="s">
        <v>25</v>
      </c>
      <c r="K925" s="6">
        <f t="shared" si="29"/>
        <v>2.2000000000000002</v>
      </c>
      <c r="L925" t="s">
        <v>26</v>
      </c>
      <c r="M925">
        <f t="shared" si="28"/>
        <v>1</v>
      </c>
      <c r="N925" t="s">
        <v>27</v>
      </c>
      <c r="O925" t="s">
        <v>65</v>
      </c>
      <c r="P925" s="2">
        <v>211</v>
      </c>
      <c r="Q925" t="s">
        <v>29</v>
      </c>
      <c r="R925" t="s">
        <v>75</v>
      </c>
      <c r="S925" t="s">
        <v>58</v>
      </c>
      <c r="T925" t="s">
        <v>59</v>
      </c>
    </row>
    <row r="926" spans="1:20" x14ac:dyDescent="0.25">
      <c r="A926" s="2">
        <v>925</v>
      </c>
      <c r="B926" s="2">
        <v>15265</v>
      </c>
      <c r="C926" t="s">
        <v>33</v>
      </c>
      <c r="D926" t="s">
        <v>52</v>
      </c>
      <c r="E926" t="s">
        <v>97</v>
      </c>
      <c r="F926" t="s">
        <v>62</v>
      </c>
      <c r="G926" t="s">
        <v>98</v>
      </c>
      <c r="H926" t="s">
        <v>73</v>
      </c>
      <c r="I926" t="s">
        <v>47</v>
      </c>
      <c r="J926" t="s">
        <v>48</v>
      </c>
      <c r="K926" s="6">
        <f t="shared" si="29"/>
        <v>2.5</v>
      </c>
      <c r="L926" t="s">
        <v>64</v>
      </c>
      <c r="M926">
        <f t="shared" si="28"/>
        <v>7</v>
      </c>
      <c r="N926" t="s">
        <v>40</v>
      </c>
      <c r="O926" t="s">
        <v>65</v>
      </c>
      <c r="P926" s="2">
        <v>1041</v>
      </c>
      <c r="Q926" t="s">
        <v>29</v>
      </c>
      <c r="R926" t="s">
        <v>75</v>
      </c>
      <c r="S926" t="s">
        <v>69</v>
      </c>
      <c r="T926" t="s">
        <v>59</v>
      </c>
    </row>
    <row r="927" spans="1:20" x14ac:dyDescent="0.25">
      <c r="A927" s="2">
        <v>926</v>
      </c>
      <c r="B927" s="2">
        <v>90027</v>
      </c>
      <c r="C927" t="s">
        <v>33</v>
      </c>
      <c r="D927" t="s">
        <v>66</v>
      </c>
      <c r="E927" t="s">
        <v>93</v>
      </c>
      <c r="F927" t="s">
        <v>62</v>
      </c>
      <c r="G927" t="s">
        <v>98</v>
      </c>
      <c r="H927" t="s">
        <v>73</v>
      </c>
      <c r="I927" t="s">
        <v>47</v>
      </c>
      <c r="J927" t="s">
        <v>48</v>
      </c>
      <c r="K927" s="6">
        <f t="shared" si="29"/>
        <v>2.5</v>
      </c>
      <c r="L927" t="s">
        <v>49</v>
      </c>
      <c r="M927">
        <f t="shared" si="28"/>
        <v>3</v>
      </c>
      <c r="N927" t="s">
        <v>27</v>
      </c>
      <c r="O927" t="s">
        <v>102</v>
      </c>
      <c r="P927" s="2">
        <v>1122</v>
      </c>
      <c r="Q927" t="s">
        <v>41</v>
      </c>
      <c r="R927" t="s">
        <v>75</v>
      </c>
      <c r="S927" t="s">
        <v>50</v>
      </c>
      <c r="T927" t="s">
        <v>43</v>
      </c>
    </row>
    <row r="928" spans="1:20" x14ac:dyDescent="0.25">
      <c r="A928" s="2">
        <v>927</v>
      </c>
      <c r="B928" s="2">
        <v>86057</v>
      </c>
      <c r="C928" t="s">
        <v>33</v>
      </c>
      <c r="D928" t="s">
        <v>52</v>
      </c>
      <c r="E928" t="s">
        <v>44</v>
      </c>
      <c r="F928" t="s">
        <v>44</v>
      </c>
      <c r="G928" t="s">
        <v>81</v>
      </c>
      <c r="H928" t="s">
        <v>71</v>
      </c>
      <c r="I928" t="s">
        <v>47</v>
      </c>
      <c r="J928" t="s">
        <v>48</v>
      </c>
      <c r="K928" s="6">
        <f t="shared" si="29"/>
        <v>0.625</v>
      </c>
      <c r="L928" t="s">
        <v>64</v>
      </c>
      <c r="M928">
        <f t="shared" si="28"/>
        <v>7</v>
      </c>
      <c r="N928" t="s">
        <v>104</v>
      </c>
      <c r="O928" t="s">
        <v>103</v>
      </c>
      <c r="P928" s="2">
        <v>259</v>
      </c>
      <c r="Q928" t="s">
        <v>41</v>
      </c>
      <c r="R928" t="s">
        <v>68</v>
      </c>
      <c r="S928" t="s">
        <v>69</v>
      </c>
      <c r="T928" t="s">
        <v>43</v>
      </c>
    </row>
    <row r="929" spans="1:20" x14ac:dyDescent="0.25">
      <c r="A929" s="2">
        <v>928</v>
      </c>
      <c r="B929" s="2">
        <v>97891</v>
      </c>
      <c r="C929" t="s">
        <v>19</v>
      </c>
      <c r="D929" t="s">
        <v>52</v>
      </c>
      <c r="E929" t="s">
        <v>76</v>
      </c>
      <c r="F929" t="s">
        <v>77</v>
      </c>
      <c r="G929" t="s">
        <v>92</v>
      </c>
      <c r="H929" t="s">
        <v>71</v>
      </c>
      <c r="I929" t="s">
        <v>83</v>
      </c>
      <c r="J929" t="s">
        <v>57</v>
      </c>
      <c r="K929" s="6">
        <f t="shared" si="29"/>
        <v>1.1000000000000001</v>
      </c>
      <c r="L929" t="s">
        <v>64</v>
      </c>
      <c r="M929">
        <f t="shared" si="28"/>
        <v>7</v>
      </c>
      <c r="N929" t="s">
        <v>40</v>
      </c>
      <c r="O929" t="s">
        <v>82</v>
      </c>
      <c r="P929" s="2">
        <v>397</v>
      </c>
      <c r="Q929" t="s">
        <v>104</v>
      </c>
      <c r="R929" t="s">
        <v>42</v>
      </c>
      <c r="S929" t="s">
        <v>69</v>
      </c>
      <c r="T929" t="s">
        <v>43</v>
      </c>
    </row>
    <row r="930" spans="1:20" x14ac:dyDescent="0.25">
      <c r="A930" s="2">
        <v>929</v>
      </c>
      <c r="B930" s="2">
        <v>60223</v>
      </c>
      <c r="C930" t="s">
        <v>33</v>
      </c>
      <c r="D930" t="s">
        <v>66</v>
      </c>
      <c r="E930" t="s">
        <v>20</v>
      </c>
      <c r="F930" t="s">
        <v>21</v>
      </c>
      <c r="G930" t="s">
        <v>70</v>
      </c>
      <c r="H930" t="s">
        <v>23</v>
      </c>
      <c r="I930" t="s">
        <v>47</v>
      </c>
      <c r="J930" t="s">
        <v>48</v>
      </c>
      <c r="K930" s="6">
        <f t="shared" si="29"/>
        <v>2.5</v>
      </c>
      <c r="L930" t="s">
        <v>26</v>
      </c>
      <c r="M930">
        <f t="shared" si="28"/>
        <v>1</v>
      </c>
      <c r="N930" t="s">
        <v>27</v>
      </c>
      <c r="O930" t="s">
        <v>103</v>
      </c>
      <c r="P930" s="2">
        <v>841</v>
      </c>
      <c r="Q930" t="s">
        <v>41</v>
      </c>
      <c r="R930" t="s">
        <v>75</v>
      </c>
      <c r="S930" t="s">
        <v>31</v>
      </c>
      <c r="T930" t="s">
        <v>32</v>
      </c>
    </row>
    <row r="931" spans="1:20" x14ac:dyDescent="0.25">
      <c r="A931" s="2">
        <v>930</v>
      </c>
      <c r="B931" s="2">
        <v>91337</v>
      </c>
      <c r="C931" t="s">
        <v>60</v>
      </c>
      <c r="D931" t="s">
        <v>66</v>
      </c>
      <c r="E931" t="s">
        <v>44</v>
      </c>
      <c r="F931" t="s">
        <v>44</v>
      </c>
      <c r="G931" t="s">
        <v>81</v>
      </c>
      <c r="H931" t="s">
        <v>23</v>
      </c>
      <c r="I931" t="s">
        <v>94</v>
      </c>
      <c r="J931" t="s">
        <v>48</v>
      </c>
      <c r="K931" s="6">
        <f t="shared" si="29"/>
        <v>1.5</v>
      </c>
      <c r="L931" t="s">
        <v>64</v>
      </c>
      <c r="M931">
        <f t="shared" si="28"/>
        <v>7</v>
      </c>
      <c r="N931" t="s">
        <v>104</v>
      </c>
      <c r="O931" t="s">
        <v>28</v>
      </c>
      <c r="P931" s="2">
        <v>668</v>
      </c>
      <c r="Q931" t="s">
        <v>74</v>
      </c>
      <c r="R931" t="s">
        <v>30</v>
      </c>
      <c r="S931" t="s">
        <v>58</v>
      </c>
      <c r="T931" t="s">
        <v>43</v>
      </c>
    </row>
    <row r="932" spans="1:20" x14ac:dyDescent="0.25">
      <c r="A932" s="2">
        <v>931</v>
      </c>
      <c r="B932" s="2">
        <v>12979</v>
      </c>
      <c r="C932" t="s">
        <v>51</v>
      </c>
      <c r="D932" t="s">
        <v>66</v>
      </c>
      <c r="E932" t="s">
        <v>79</v>
      </c>
      <c r="F932" t="s">
        <v>80</v>
      </c>
      <c r="G932" t="s">
        <v>63</v>
      </c>
      <c r="H932" t="s">
        <v>71</v>
      </c>
      <c r="I932" t="s">
        <v>24</v>
      </c>
      <c r="J932" t="s">
        <v>25</v>
      </c>
      <c r="K932" s="6">
        <f t="shared" si="29"/>
        <v>0.6</v>
      </c>
      <c r="L932" t="s">
        <v>49</v>
      </c>
      <c r="M932">
        <f t="shared" si="28"/>
        <v>3</v>
      </c>
      <c r="N932" t="s">
        <v>104</v>
      </c>
      <c r="O932" t="s">
        <v>103</v>
      </c>
      <c r="P932" s="2">
        <v>396</v>
      </c>
      <c r="Q932" t="s">
        <v>29</v>
      </c>
      <c r="R932" t="s">
        <v>68</v>
      </c>
      <c r="S932" t="s">
        <v>31</v>
      </c>
      <c r="T932" t="s">
        <v>43</v>
      </c>
    </row>
    <row r="933" spans="1:20" x14ac:dyDescent="0.25">
      <c r="A933" s="2">
        <v>932</v>
      </c>
      <c r="B933" s="2">
        <v>70764</v>
      </c>
      <c r="C933" t="s">
        <v>60</v>
      </c>
      <c r="D933" t="s">
        <v>66</v>
      </c>
      <c r="E933" t="s">
        <v>97</v>
      </c>
      <c r="F933" t="s">
        <v>62</v>
      </c>
      <c r="G933" t="s">
        <v>45</v>
      </c>
      <c r="H933" t="s">
        <v>46</v>
      </c>
      <c r="I933" t="s">
        <v>94</v>
      </c>
      <c r="J933" t="s">
        <v>39</v>
      </c>
      <c r="K933" s="6">
        <f t="shared" si="29"/>
        <v>1.5</v>
      </c>
      <c r="L933" t="s">
        <v>64</v>
      </c>
      <c r="M933">
        <f t="shared" si="28"/>
        <v>7</v>
      </c>
      <c r="N933" t="s">
        <v>40</v>
      </c>
      <c r="O933" t="s">
        <v>103</v>
      </c>
      <c r="P933" s="2">
        <v>586</v>
      </c>
      <c r="Q933" t="s">
        <v>41</v>
      </c>
      <c r="R933" t="s">
        <v>75</v>
      </c>
      <c r="S933" t="s">
        <v>31</v>
      </c>
      <c r="T933" t="s">
        <v>59</v>
      </c>
    </row>
    <row r="934" spans="1:20" x14ac:dyDescent="0.25">
      <c r="A934" s="2">
        <v>933</v>
      </c>
      <c r="B934" s="2">
        <v>86154</v>
      </c>
      <c r="C934" t="s">
        <v>19</v>
      </c>
      <c r="D934" t="s">
        <v>66</v>
      </c>
      <c r="E934" t="s">
        <v>20</v>
      </c>
      <c r="F934" t="s">
        <v>21</v>
      </c>
      <c r="G934" t="s">
        <v>63</v>
      </c>
      <c r="H934" t="s">
        <v>23</v>
      </c>
      <c r="I934" t="s">
        <v>83</v>
      </c>
      <c r="J934" t="s">
        <v>57</v>
      </c>
      <c r="K934" s="6">
        <f t="shared" si="29"/>
        <v>0.55000000000000004</v>
      </c>
      <c r="L934" t="s">
        <v>64</v>
      </c>
      <c r="M934">
        <f t="shared" si="28"/>
        <v>7</v>
      </c>
      <c r="N934" t="s">
        <v>27</v>
      </c>
      <c r="O934" t="s">
        <v>72</v>
      </c>
      <c r="P934" s="2">
        <v>892</v>
      </c>
      <c r="Q934" t="s">
        <v>29</v>
      </c>
      <c r="R934" t="s">
        <v>68</v>
      </c>
      <c r="S934" t="s">
        <v>31</v>
      </c>
      <c r="T934" t="s">
        <v>32</v>
      </c>
    </row>
    <row r="935" spans="1:20" x14ac:dyDescent="0.25">
      <c r="A935" s="2">
        <v>934</v>
      </c>
      <c r="B935" s="2">
        <v>24841</v>
      </c>
      <c r="C935" t="s">
        <v>60</v>
      </c>
      <c r="D935" t="s">
        <v>66</v>
      </c>
      <c r="E935" t="s">
        <v>61</v>
      </c>
      <c r="F935" t="s">
        <v>62</v>
      </c>
      <c r="G935" t="s">
        <v>63</v>
      </c>
      <c r="H935" t="s">
        <v>71</v>
      </c>
      <c r="I935" t="s">
        <v>56</v>
      </c>
      <c r="J935" t="s">
        <v>57</v>
      </c>
      <c r="K935" s="6">
        <f t="shared" si="29"/>
        <v>2.2000000000000002</v>
      </c>
      <c r="L935" t="s">
        <v>49</v>
      </c>
      <c r="M935">
        <f t="shared" si="28"/>
        <v>3</v>
      </c>
      <c r="N935" t="s">
        <v>40</v>
      </c>
      <c r="O935" t="s">
        <v>103</v>
      </c>
      <c r="P935" s="2">
        <v>258</v>
      </c>
      <c r="Q935" t="s">
        <v>29</v>
      </c>
      <c r="R935" t="s">
        <v>30</v>
      </c>
      <c r="S935" t="s">
        <v>69</v>
      </c>
      <c r="T935" t="s">
        <v>59</v>
      </c>
    </row>
    <row r="936" spans="1:20" x14ac:dyDescent="0.25">
      <c r="A936" s="2">
        <v>935</v>
      </c>
      <c r="B936" s="2">
        <v>23652</v>
      </c>
      <c r="C936" t="s">
        <v>19</v>
      </c>
      <c r="D936" t="s">
        <v>52</v>
      </c>
      <c r="E936" t="s">
        <v>89</v>
      </c>
      <c r="F936" t="s">
        <v>90</v>
      </c>
      <c r="G936" t="s">
        <v>98</v>
      </c>
      <c r="H936" t="s">
        <v>37</v>
      </c>
      <c r="I936" t="s">
        <v>56</v>
      </c>
      <c r="J936" t="s">
        <v>86</v>
      </c>
      <c r="K936" s="6">
        <f t="shared" si="29"/>
        <v>2.2000000000000002</v>
      </c>
      <c r="L936" t="s">
        <v>49</v>
      </c>
      <c r="M936">
        <f t="shared" si="28"/>
        <v>3</v>
      </c>
      <c r="N936" t="s">
        <v>104</v>
      </c>
      <c r="O936" t="s">
        <v>103</v>
      </c>
      <c r="P936" s="2">
        <v>2320</v>
      </c>
      <c r="Q936" t="s">
        <v>74</v>
      </c>
      <c r="R936" t="s">
        <v>30</v>
      </c>
      <c r="S936" t="s">
        <v>69</v>
      </c>
      <c r="T936" t="s">
        <v>59</v>
      </c>
    </row>
    <row r="937" spans="1:20" x14ac:dyDescent="0.25">
      <c r="A937" s="2">
        <v>936</v>
      </c>
      <c r="B937" s="2">
        <v>52115</v>
      </c>
      <c r="C937" t="s">
        <v>60</v>
      </c>
      <c r="D937" t="s">
        <v>52</v>
      </c>
      <c r="E937" t="s">
        <v>87</v>
      </c>
      <c r="F937" t="s">
        <v>88</v>
      </c>
      <c r="G937" t="s">
        <v>78</v>
      </c>
      <c r="H937" t="s">
        <v>71</v>
      </c>
      <c r="I937" t="s">
        <v>67</v>
      </c>
      <c r="J937" t="s">
        <v>25</v>
      </c>
      <c r="K937" s="6">
        <f t="shared" si="29"/>
        <v>2.2000000000000002</v>
      </c>
      <c r="L937" t="s">
        <v>64</v>
      </c>
      <c r="M937">
        <f t="shared" si="28"/>
        <v>7</v>
      </c>
      <c r="N937" t="s">
        <v>104</v>
      </c>
      <c r="O937" t="s">
        <v>65</v>
      </c>
      <c r="P937" s="2">
        <v>252</v>
      </c>
      <c r="Q937" t="s">
        <v>29</v>
      </c>
      <c r="R937" t="s">
        <v>75</v>
      </c>
      <c r="S937" t="s">
        <v>50</v>
      </c>
      <c r="T937" t="s">
        <v>59</v>
      </c>
    </row>
    <row r="938" spans="1:20" x14ac:dyDescent="0.25">
      <c r="A938" s="2">
        <v>937</v>
      </c>
      <c r="B938" s="2">
        <v>67270</v>
      </c>
      <c r="C938" t="s">
        <v>96</v>
      </c>
      <c r="D938" t="s">
        <v>52</v>
      </c>
      <c r="E938" t="s">
        <v>101</v>
      </c>
      <c r="F938" t="s">
        <v>80</v>
      </c>
      <c r="G938" t="s">
        <v>78</v>
      </c>
      <c r="H938" t="s">
        <v>73</v>
      </c>
      <c r="I938" t="s">
        <v>24</v>
      </c>
      <c r="J938" t="s">
        <v>25</v>
      </c>
      <c r="K938" s="6">
        <f t="shared" si="29"/>
        <v>1.2</v>
      </c>
      <c r="L938" t="s">
        <v>64</v>
      </c>
      <c r="M938">
        <f t="shared" si="28"/>
        <v>7</v>
      </c>
      <c r="N938" t="s">
        <v>27</v>
      </c>
      <c r="O938" t="s">
        <v>102</v>
      </c>
      <c r="P938" s="2">
        <v>982</v>
      </c>
      <c r="Q938" t="s">
        <v>104</v>
      </c>
      <c r="R938" t="s">
        <v>42</v>
      </c>
      <c r="S938" t="s">
        <v>31</v>
      </c>
      <c r="T938" t="s">
        <v>32</v>
      </c>
    </row>
    <row r="939" spans="1:20" x14ac:dyDescent="0.25">
      <c r="A939" s="2">
        <v>938</v>
      </c>
      <c r="B939" s="2">
        <v>68115</v>
      </c>
      <c r="C939" t="s">
        <v>60</v>
      </c>
      <c r="D939" t="s">
        <v>52</v>
      </c>
      <c r="E939" t="s">
        <v>101</v>
      </c>
      <c r="F939" t="s">
        <v>80</v>
      </c>
      <c r="G939" t="s">
        <v>98</v>
      </c>
      <c r="H939" t="s">
        <v>23</v>
      </c>
      <c r="I939" t="s">
        <v>24</v>
      </c>
      <c r="J939" t="s">
        <v>25</v>
      </c>
      <c r="K939" s="6">
        <f t="shared" si="29"/>
        <v>2.4</v>
      </c>
      <c r="L939" t="s">
        <v>26</v>
      </c>
      <c r="M939">
        <f t="shared" si="28"/>
        <v>1</v>
      </c>
      <c r="N939" t="s">
        <v>27</v>
      </c>
      <c r="O939" t="s">
        <v>28</v>
      </c>
      <c r="P939" s="2">
        <v>731</v>
      </c>
      <c r="Q939" t="s">
        <v>29</v>
      </c>
      <c r="R939" t="s">
        <v>30</v>
      </c>
      <c r="S939" t="s">
        <v>69</v>
      </c>
      <c r="T939" t="s">
        <v>32</v>
      </c>
    </row>
    <row r="940" spans="1:20" x14ac:dyDescent="0.25">
      <c r="A940" s="2">
        <v>939</v>
      </c>
      <c r="B940" s="2">
        <v>39630</v>
      </c>
      <c r="C940" t="s">
        <v>33</v>
      </c>
      <c r="D940" t="s">
        <v>66</v>
      </c>
      <c r="E940" t="s">
        <v>95</v>
      </c>
      <c r="F940" t="s">
        <v>21</v>
      </c>
      <c r="G940" t="s">
        <v>81</v>
      </c>
      <c r="H940" t="s">
        <v>71</v>
      </c>
      <c r="I940" t="s">
        <v>91</v>
      </c>
      <c r="J940" t="s">
        <v>57</v>
      </c>
      <c r="K940" s="6">
        <f t="shared" si="29"/>
        <v>2.2000000000000002</v>
      </c>
      <c r="L940" t="s">
        <v>49</v>
      </c>
      <c r="M940">
        <f t="shared" si="28"/>
        <v>3</v>
      </c>
      <c r="N940" t="s">
        <v>27</v>
      </c>
      <c r="O940" t="s">
        <v>103</v>
      </c>
      <c r="P940" s="2">
        <v>315</v>
      </c>
      <c r="Q940" t="s">
        <v>41</v>
      </c>
      <c r="R940" t="s">
        <v>30</v>
      </c>
      <c r="S940" t="s">
        <v>58</v>
      </c>
      <c r="T940" t="s">
        <v>43</v>
      </c>
    </row>
    <row r="941" spans="1:20" x14ac:dyDescent="0.25">
      <c r="A941" s="2">
        <v>940</v>
      </c>
      <c r="B941" s="2">
        <v>37991</v>
      </c>
      <c r="C941" t="s">
        <v>33</v>
      </c>
      <c r="D941" t="s">
        <v>66</v>
      </c>
      <c r="E941" t="s">
        <v>99</v>
      </c>
      <c r="F941" t="s">
        <v>100</v>
      </c>
      <c r="G941" t="s">
        <v>55</v>
      </c>
      <c r="H941" t="s">
        <v>23</v>
      </c>
      <c r="I941" t="s">
        <v>83</v>
      </c>
      <c r="J941" t="s">
        <v>57</v>
      </c>
      <c r="K941" s="6">
        <f t="shared" si="29"/>
        <v>2.2000000000000002</v>
      </c>
      <c r="L941" t="s">
        <v>49</v>
      </c>
      <c r="M941">
        <f t="shared" si="28"/>
        <v>3</v>
      </c>
      <c r="N941" t="s">
        <v>104</v>
      </c>
      <c r="O941" t="s">
        <v>65</v>
      </c>
      <c r="P941" s="2">
        <v>605</v>
      </c>
      <c r="Q941" t="s">
        <v>29</v>
      </c>
      <c r="R941" t="s">
        <v>30</v>
      </c>
      <c r="S941" t="s">
        <v>69</v>
      </c>
      <c r="T941" t="s">
        <v>32</v>
      </c>
    </row>
    <row r="942" spans="1:20" x14ac:dyDescent="0.25">
      <c r="A942" s="2">
        <v>941</v>
      </c>
      <c r="B942" s="2">
        <v>64326</v>
      </c>
      <c r="C942" t="s">
        <v>33</v>
      </c>
      <c r="D942" t="s">
        <v>52</v>
      </c>
      <c r="E942" t="s">
        <v>61</v>
      </c>
      <c r="F942" t="s">
        <v>62</v>
      </c>
      <c r="G942" t="s">
        <v>36</v>
      </c>
      <c r="H942" t="s">
        <v>71</v>
      </c>
      <c r="I942" t="s">
        <v>47</v>
      </c>
      <c r="J942" t="s">
        <v>86</v>
      </c>
      <c r="K942" s="6">
        <f t="shared" si="29"/>
        <v>0.625</v>
      </c>
      <c r="L942" t="s">
        <v>64</v>
      </c>
      <c r="M942">
        <f t="shared" si="28"/>
        <v>7</v>
      </c>
      <c r="N942" t="s">
        <v>40</v>
      </c>
      <c r="O942" t="s">
        <v>103</v>
      </c>
      <c r="P942" s="2">
        <v>392</v>
      </c>
      <c r="Q942" t="s">
        <v>29</v>
      </c>
      <c r="R942" t="s">
        <v>68</v>
      </c>
      <c r="S942" t="s">
        <v>69</v>
      </c>
      <c r="T942" t="s">
        <v>59</v>
      </c>
    </row>
    <row r="943" spans="1:20" x14ac:dyDescent="0.25">
      <c r="A943" s="2">
        <v>942</v>
      </c>
      <c r="B943" s="2">
        <v>17577</v>
      </c>
      <c r="C943" t="s">
        <v>51</v>
      </c>
      <c r="D943" t="s">
        <v>52</v>
      </c>
      <c r="E943" t="s">
        <v>76</v>
      </c>
      <c r="F943" t="s">
        <v>77</v>
      </c>
      <c r="G943" t="s">
        <v>70</v>
      </c>
      <c r="H943" t="s">
        <v>71</v>
      </c>
      <c r="I943" t="s">
        <v>38</v>
      </c>
      <c r="J943" t="s">
        <v>57</v>
      </c>
      <c r="K943" s="6">
        <f t="shared" si="29"/>
        <v>2</v>
      </c>
      <c r="L943" t="s">
        <v>26</v>
      </c>
      <c r="M943">
        <f t="shared" si="28"/>
        <v>1</v>
      </c>
      <c r="N943" t="s">
        <v>27</v>
      </c>
      <c r="O943" t="s">
        <v>103</v>
      </c>
      <c r="P943" s="2">
        <v>272</v>
      </c>
      <c r="Q943" t="s">
        <v>104</v>
      </c>
      <c r="R943" t="s">
        <v>75</v>
      </c>
      <c r="S943" t="s">
        <v>69</v>
      </c>
      <c r="T943" t="s">
        <v>43</v>
      </c>
    </row>
    <row r="944" spans="1:20" x14ac:dyDescent="0.25">
      <c r="A944" s="2">
        <v>943</v>
      </c>
      <c r="B944" s="2">
        <v>49825</v>
      </c>
      <c r="C944" t="s">
        <v>60</v>
      </c>
      <c r="D944" t="s">
        <v>52</v>
      </c>
      <c r="E944" t="s">
        <v>44</v>
      </c>
      <c r="F944" t="s">
        <v>44</v>
      </c>
      <c r="G944" t="s">
        <v>98</v>
      </c>
      <c r="H944" t="s">
        <v>71</v>
      </c>
      <c r="I944" t="s">
        <v>47</v>
      </c>
      <c r="J944" t="s">
        <v>48</v>
      </c>
      <c r="K944" s="6">
        <f t="shared" si="29"/>
        <v>2.5</v>
      </c>
      <c r="L944" t="s">
        <v>64</v>
      </c>
      <c r="M944">
        <f t="shared" si="28"/>
        <v>7</v>
      </c>
      <c r="N944" t="s">
        <v>27</v>
      </c>
      <c r="O944" t="s">
        <v>72</v>
      </c>
      <c r="P944" s="2">
        <v>322</v>
      </c>
      <c r="Q944" t="s">
        <v>29</v>
      </c>
      <c r="R944" t="s">
        <v>30</v>
      </c>
      <c r="S944" t="s">
        <v>50</v>
      </c>
      <c r="T944" t="s">
        <v>43</v>
      </c>
    </row>
    <row r="945" spans="1:20" x14ac:dyDescent="0.25">
      <c r="A945" s="2">
        <v>944</v>
      </c>
      <c r="B945" s="2">
        <v>13389</v>
      </c>
      <c r="C945" t="s">
        <v>51</v>
      </c>
      <c r="D945" t="s">
        <v>52</v>
      </c>
      <c r="E945" t="s">
        <v>79</v>
      </c>
      <c r="F945" t="s">
        <v>80</v>
      </c>
      <c r="G945" t="s">
        <v>81</v>
      </c>
      <c r="H945" t="s">
        <v>71</v>
      </c>
      <c r="I945" t="s">
        <v>91</v>
      </c>
      <c r="J945" t="s">
        <v>25</v>
      </c>
      <c r="K945" s="6">
        <f t="shared" si="29"/>
        <v>2.2000000000000002</v>
      </c>
      <c r="L945" t="s">
        <v>26</v>
      </c>
      <c r="M945">
        <f t="shared" si="28"/>
        <v>1</v>
      </c>
      <c r="N945" t="s">
        <v>27</v>
      </c>
      <c r="O945" t="s">
        <v>28</v>
      </c>
      <c r="P945" s="2">
        <v>274</v>
      </c>
      <c r="Q945" t="s">
        <v>41</v>
      </c>
      <c r="R945" t="s">
        <v>75</v>
      </c>
      <c r="S945" t="s">
        <v>31</v>
      </c>
      <c r="T945" t="s">
        <v>43</v>
      </c>
    </row>
    <row r="946" spans="1:20" x14ac:dyDescent="0.25">
      <c r="A946" s="2">
        <v>945</v>
      </c>
      <c r="B946" s="2">
        <v>81769</v>
      </c>
      <c r="C946" t="s">
        <v>19</v>
      </c>
      <c r="D946" t="s">
        <v>66</v>
      </c>
      <c r="E946" t="s">
        <v>20</v>
      </c>
      <c r="F946" t="s">
        <v>21</v>
      </c>
      <c r="G946" t="s">
        <v>92</v>
      </c>
      <c r="H946" t="s">
        <v>46</v>
      </c>
      <c r="I946" t="s">
        <v>56</v>
      </c>
      <c r="J946" t="s">
        <v>57</v>
      </c>
      <c r="K946" s="6">
        <f t="shared" si="29"/>
        <v>2.2000000000000002</v>
      </c>
      <c r="L946" t="s">
        <v>26</v>
      </c>
      <c r="M946">
        <f t="shared" si="28"/>
        <v>1</v>
      </c>
      <c r="N946" t="s">
        <v>27</v>
      </c>
      <c r="O946" t="s">
        <v>103</v>
      </c>
      <c r="P946" s="2">
        <v>409</v>
      </c>
      <c r="Q946" t="s">
        <v>104</v>
      </c>
      <c r="R946" t="s">
        <v>30</v>
      </c>
      <c r="S946" t="s">
        <v>58</v>
      </c>
      <c r="T946" t="s">
        <v>32</v>
      </c>
    </row>
    <row r="947" spans="1:20" x14ac:dyDescent="0.25">
      <c r="A947" s="2">
        <v>946</v>
      </c>
      <c r="B947" s="2">
        <v>32397</v>
      </c>
      <c r="C947" t="s">
        <v>96</v>
      </c>
      <c r="D947" t="s">
        <v>52</v>
      </c>
      <c r="E947" t="s">
        <v>99</v>
      </c>
      <c r="F947" t="s">
        <v>100</v>
      </c>
      <c r="G947" t="s">
        <v>78</v>
      </c>
      <c r="H947" t="s">
        <v>23</v>
      </c>
      <c r="I947" t="s">
        <v>83</v>
      </c>
      <c r="J947" t="s">
        <v>48</v>
      </c>
      <c r="K947" s="6">
        <f t="shared" si="29"/>
        <v>1.1000000000000001</v>
      </c>
      <c r="L947" t="s">
        <v>26</v>
      </c>
      <c r="M947">
        <f t="shared" si="28"/>
        <v>1</v>
      </c>
      <c r="N947" t="s">
        <v>40</v>
      </c>
      <c r="O947" t="s">
        <v>28</v>
      </c>
      <c r="P947" s="2">
        <v>581</v>
      </c>
      <c r="Q947" t="s">
        <v>41</v>
      </c>
      <c r="R947" t="s">
        <v>42</v>
      </c>
      <c r="S947" t="s">
        <v>50</v>
      </c>
      <c r="T947" t="s">
        <v>32</v>
      </c>
    </row>
    <row r="948" spans="1:20" x14ac:dyDescent="0.25">
      <c r="A948" s="2">
        <v>947</v>
      </c>
      <c r="B948" s="2">
        <v>42997</v>
      </c>
      <c r="C948" t="s">
        <v>51</v>
      </c>
      <c r="D948" t="s">
        <v>66</v>
      </c>
      <c r="E948" t="s">
        <v>79</v>
      </c>
      <c r="F948" t="s">
        <v>80</v>
      </c>
      <c r="G948" t="s">
        <v>70</v>
      </c>
      <c r="H948" t="s">
        <v>37</v>
      </c>
      <c r="I948" t="s">
        <v>24</v>
      </c>
      <c r="J948" t="s">
        <v>25</v>
      </c>
      <c r="K948" s="6">
        <f t="shared" si="29"/>
        <v>0.6</v>
      </c>
      <c r="L948" t="s">
        <v>64</v>
      </c>
      <c r="M948">
        <f t="shared" si="28"/>
        <v>7</v>
      </c>
      <c r="N948" t="s">
        <v>27</v>
      </c>
      <c r="O948" t="s">
        <v>102</v>
      </c>
      <c r="P948" s="2">
        <v>1948</v>
      </c>
      <c r="Q948" t="s">
        <v>41</v>
      </c>
      <c r="R948" t="s">
        <v>68</v>
      </c>
      <c r="S948" t="s">
        <v>50</v>
      </c>
      <c r="T948" t="s">
        <v>43</v>
      </c>
    </row>
    <row r="949" spans="1:20" x14ac:dyDescent="0.25">
      <c r="A949" s="2">
        <v>948</v>
      </c>
      <c r="B949" s="2">
        <v>87591</v>
      </c>
      <c r="C949" t="s">
        <v>33</v>
      </c>
      <c r="D949" t="s">
        <v>66</v>
      </c>
      <c r="E949" t="s">
        <v>97</v>
      </c>
      <c r="F949" t="s">
        <v>62</v>
      </c>
      <c r="G949" t="s">
        <v>55</v>
      </c>
      <c r="H949" t="s">
        <v>46</v>
      </c>
      <c r="I949" t="s">
        <v>24</v>
      </c>
      <c r="J949" t="s">
        <v>57</v>
      </c>
      <c r="K949" s="6">
        <f t="shared" si="29"/>
        <v>1.2</v>
      </c>
      <c r="L949" t="s">
        <v>26</v>
      </c>
      <c r="M949">
        <f t="shared" si="28"/>
        <v>1</v>
      </c>
      <c r="N949" t="s">
        <v>27</v>
      </c>
      <c r="O949" t="s">
        <v>72</v>
      </c>
      <c r="P949" s="2">
        <v>546</v>
      </c>
      <c r="Q949" t="s">
        <v>74</v>
      </c>
      <c r="R949" t="s">
        <v>42</v>
      </c>
      <c r="S949" t="s">
        <v>69</v>
      </c>
      <c r="T949" t="s">
        <v>59</v>
      </c>
    </row>
    <row r="950" spans="1:20" x14ac:dyDescent="0.25">
      <c r="A950" s="2">
        <v>949</v>
      </c>
      <c r="B950" s="2">
        <v>57659</v>
      </c>
      <c r="C950" t="s">
        <v>33</v>
      </c>
      <c r="D950" t="s">
        <v>52</v>
      </c>
      <c r="E950" t="s">
        <v>101</v>
      </c>
      <c r="F950" t="s">
        <v>80</v>
      </c>
      <c r="G950" t="s">
        <v>55</v>
      </c>
      <c r="H950" t="s">
        <v>71</v>
      </c>
      <c r="I950" t="s">
        <v>24</v>
      </c>
      <c r="J950" t="s">
        <v>25</v>
      </c>
      <c r="K950" s="6">
        <f t="shared" si="29"/>
        <v>2.4</v>
      </c>
      <c r="L950" t="s">
        <v>64</v>
      </c>
      <c r="M950">
        <f t="shared" si="28"/>
        <v>7</v>
      </c>
      <c r="N950" t="s">
        <v>40</v>
      </c>
      <c r="O950" t="s">
        <v>28</v>
      </c>
      <c r="P950" s="2">
        <v>240</v>
      </c>
      <c r="Q950" t="s">
        <v>41</v>
      </c>
      <c r="R950" t="s">
        <v>75</v>
      </c>
      <c r="S950" t="s">
        <v>58</v>
      </c>
      <c r="T950" t="s">
        <v>32</v>
      </c>
    </row>
    <row r="951" spans="1:20" x14ac:dyDescent="0.25">
      <c r="A951" s="2">
        <v>950</v>
      </c>
      <c r="B951" s="2">
        <v>83891</v>
      </c>
      <c r="C951" t="s">
        <v>33</v>
      </c>
      <c r="D951" t="s">
        <v>52</v>
      </c>
      <c r="E951" t="s">
        <v>34</v>
      </c>
      <c r="F951" t="s">
        <v>35</v>
      </c>
      <c r="G951" t="s">
        <v>81</v>
      </c>
      <c r="H951" t="s">
        <v>23</v>
      </c>
      <c r="I951" t="s">
        <v>38</v>
      </c>
      <c r="J951" t="s">
        <v>39</v>
      </c>
      <c r="K951" s="6">
        <f t="shared" si="29"/>
        <v>2</v>
      </c>
      <c r="L951" t="s">
        <v>64</v>
      </c>
      <c r="M951">
        <f t="shared" si="28"/>
        <v>7</v>
      </c>
      <c r="N951" t="s">
        <v>27</v>
      </c>
      <c r="O951" t="s">
        <v>103</v>
      </c>
      <c r="P951" s="2">
        <v>881</v>
      </c>
      <c r="Q951" t="s">
        <v>74</v>
      </c>
      <c r="R951" t="s">
        <v>30</v>
      </c>
      <c r="S951" t="s">
        <v>58</v>
      </c>
      <c r="T951" t="s">
        <v>43</v>
      </c>
    </row>
    <row r="952" spans="1:20" x14ac:dyDescent="0.25">
      <c r="A952" s="2">
        <v>951</v>
      </c>
      <c r="B952" s="2">
        <v>72367</v>
      </c>
      <c r="C952" t="s">
        <v>33</v>
      </c>
      <c r="D952" t="s">
        <v>66</v>
      </c>
      <c r="E952" t="s">
        <v>20</v>
      </c>
      <c r="F952" t="s">
        <v>21</v>
      </c>
      <c r="G952" t="s">
        <v>98</v>
      </c>
      <c r="H952" t="s">
        <v>23</v>
      </c>
      <c r="I952" t="s">
        <v>94</v>
      </c>
      <c r="J952" t="s">
        <v>57</v>
      </c>
      <c r="K952" s="6">
        <f t="shared" si="29"/>
        <v>0.375</v>
      </c>
      <c r="L952" t="s">
        <v>64</v>
      </c>
      <c r="M952">
        <f t="shared" si="28"/>
        <v>7</v>
      </c>
      <c r="N952" t="s">
        <v>27</v>
      </c>
      <c r="O952" t="s">
        <v>28</v>
      </c>
      <c r="P952" s="2">
        <v>692</v>
      </c>
      <c r="Q952" t="s">
        <v>104</v>
      </c>
      <c r="R952" t="s">
        <v>68</v>
      </c>
      <c r="S952" t="s">
        <v>69</v>
      </c>
      <c r="T952" t="s">
        <v>32</v>
      </c>
    </row>
    <row r="953" spans="1:20" x14ac:dyDescent="0.25">
      <c r="A953" s="2">
        <v>952</v>
      </c>
      <c r="B953" s="2">
        <v>63252</v>
      </c>
      <c r="C953" t="s">
        <v>51</v>
      </c>
      <c r="D953" t="s">
        <v>66</v>
      </c>
      <c r="E953" t="s">
        <v>87</v>
      </c>
      <c r="F953" t="s">
        <v>88</v>
      </c>
      <c r="G953" t="s">
        <v>98</v>
      </c>
      <c r="H953" t="s">
        <v>73</v>
      </c>
      <c r="I953" t="s">
        <v>24</v>
      </c>
      <c r="J953" t="s">
        <v>25</v>
      </c>
      <c r="K953" s="6">
        <f t="shared" si="29"/>
        <v>2.4</v>
      </c>
      <c r="L953" t="s">
        <v>64</v>
      </c>
      <c r="M953">
        <f t="shared" si="28"/>
        <v>7</v>
      </c>
      <c r="N953" t="s">
        <v>104</v>
      </c>
      <c r="O953" t="s">
        <v>72</v>
      </c>
      <c r="P953" s="2">
        <v>1184</v>
      </c>
      <c r="Q953" t="s">
        <v>41</v>
      </c>
      <c r="R953" t="s">
        <v>30</v>
      </c>
      <c r="S953" t="s">
        <v>58</v>
      </c>
      <c r="T953" t="s">
        <v>59</v>
      </c>
    </row>
    <row r="954" spans="1:20" x14ac:dyDescent="0.25">
      <c r="A954" s="2">
        <v>953</v>
      </c>
      <c r="B954" s="2">
        <v>60774</v>
      </c>
      <c r="C954" t="s">
        <v>33</v>
      </c>
      <c r="D954" t="s">
        <v>66</v>
      </c>
      <c r="E954" t="s">
        <v>93</v>
      </c>
      <c r="F954" t="s">
        <v>62</v>
      </c>
      <c r="G954" t="s">
        <v>70</v>
      </c>
      <c r="H954" t="s">
        <v>71</v>
      </c>
      <c r="I954" t="s">
        <v>47</v>
      </c>
      <c r="J954" t="s">
        <v>48</v>
      </c>
      <c r="K954" s="6">
        <f t="shared" si="29"/>
        <v>1.25</v>
      </c>
      <c r="L954" t="s">
        <v>49</v>
      </c>
      <c r="M954">
        <f t="shared" si="28"/>
        <v>3</v>
      </c>
      <c r="N954" t="s">
        <v>27</v>
      </c>
      <c r="O954" t="s">
        <v>103</v>
      </c>
      <c r="P954" s="2">
        <v>224</v>
      </c>
      <c r="Q954" t="s">
        <v>29</v>
      </c>
      <c r="R954" t="s">
        <v>42</v>
      </c>
      <c r="S954" t="s">
        <v>31</v>
      </c>
      <c r="T954" t="s">
        <v>43</v>
      </c>
    </row>
    <row r="955" spans="1:20" x14ac:dyDescent="0.25">
      <c r="A955" s="2">
        <v>954</v>
      </c>
      <c r="B955" s="2">
        <v>86513</v>
      </c>
      <c r="C955" t="s">
        <v>33</v>
      </c>
      <c r="D955" t="s">
        <v>66</v>
      </c>
      <c r="E955" t="s">
        <v>101</v>
      </c>
      <c r="F955" t="s">
        <v>80</v>
      </c>
      <c r="G955" t="s">
        <v>45</v>
      </c>
      <c r="H955" t="s">
        <v>23</v>
      </c>
      <c r="I955" t="s">
        <v>56</v>
      </c>
      <c r="J955" t="s">
        <v>25</v>
      </c>
      <c r="K955" s="6">
        <f t="shared" si="29"/>
        <v>2.2000000000000002</v>
      </c>
      <c r="L955" t="s">
        <v>26</v>
      </c>
      <c r="M955">
        <f t="shared" si="28"/>
        <v>1</v>
      </c>
      <c r="N955" t="s">
        <v>40</v>
      </c>
      <c r="O955" t="s">
        <v>103</v>
      </c>
      <c r="P955" s="2">
        <v>477</v>
      </c>
      <c r="Q955" t="s">
        <v>104</v>
      </c>
      <c r="R955" t="s">
        <v>30</v>
      </c>
      <c r="S955" t="s">
        <v>50</v>
      </c>
      <c r="T955" t="s">
        <v>32</v>
      </c>
    </row>
    <row r="956" spans="1:20" x14ac:dyDescent="0.25">
      <c r="A956" s="2">
        <v>955</v>
      </c>
      <c r="B956" s="2">
        <v>20285</v>
      </c>
      <c r="C956" t="s">
        <v>51</v>
      </c>
      <c r="D956" t="s">
        <v>52</v>
      </c>
      <c r="E956" t="s">
        <v>99</v>
      </c>
      <c r="F956" t="s">
        <v>100</v>
      </c>
      <c r="G956" t="s">
        <v>81</v>
      </c>
      <c r="H956" t="s">
        <v>71</v>
      </c>
      <c r="I956" t="s">
        <v>91</v>
      </c>
      <c r="J956" t="s">
        <v>39</v>
      </c>
      <c r="K956" s="6">
        <f t="shared" si="29"/>
        <v>1.1000000000000001</v>
      </c>
      <c r="L956" t="s">
        <v>49</v>
      </c>
      <c r="M956">
        <f t="shared" si="28"/>
        <v>3</v>
      </c>
      <c r="N956" t="s">
        <v>104</v>
      </c>
      <c r="O956" t="s">
        <v>28</v>
      </c>
      <c r="P956" s="2">
        <v>345</v>
      </c>
      <c r="Q956" t="s">
        <v>74</v>
      </c>
      <c r="R956" t="s">
        <v>42</v>
      </c>
      <c r="S956" t="s">
        <v>58</v>
      </c>
      <c r="T956" t="s">
        <v>32</v>
      </c>
    </row>
    <row r="957" spans="1:20" x14ac:dyDescent="0.25">
      <c r="A957" s="2">
        <v>956</v>
      </c>
      <c r="B957" s="2">
        <v>82793</v>
      </c>
      <c r="C957" t="s">
        <v>33</v>
      </c>
      <c r="D957" t="s">
        <v>66</v>
      </c>
      <c r="E957" t="s">
        <v>84</v>
      </c>
      <c r="F957" t="s">
        <v>85</v>
      </c>
      <c r="G957" t="s">
        <v>22</v>
      </c>
      <c r="H957" t="s">
        <v>46</v>
      </c>
      <c r="I957" t="s">
        <v>47</v>
      </c>
      <c r="J957" t="s">
        <v>48</v>
      </c>
      <c r="K957" s="6">
        <f t="shared" si="29"/>
        <v>0.625</v>
      </c>
      <c r="L957" t="s">
        <v>64</v>
      </c>
      <c r="M957">
        <f t="shared" si="28"/>
        <v>7</v>
      </c>
      <c r="N957" t="s">
        <v>104</v>
      </c>
      <c r="O957" t="s">
        <v>65</v>
      </c>
      <c r="P957" s="2">
        <v>332</v>
      </c>
      <c r="Q957" t="s">
        <v>74</v>
      </c>
      <c r="R957" t="s">
        <v>68</v>
      </c>
      <c r="S957" t="s">
        <v>58</v>
      </c>
      <c r="T957" t="s">
        <v>32</v>
      </c>
    </row>
    <row r="958" spans="1:20" x14ac:dyDescent="0.25">
      <c r="A958" s="2">
        <v>957</v>
      </c>
      <c r="B958" s="2">
        <v>44265</v>
      </c>
      <c r="C958" t="s">
        <v>51</v>
      </c>
      <c r="D958" t="s">
        <v>66</v>
      </c>
      <c r="E958" t="s">
        <v>99</v>
      </c>
      <c r="F958" t="s">
        <v>100</v>
      </c>
      <c r="G958" t="s">
        <v>92</v>
      </c>
      <c r="H958" t="s">
        <v>71</v>
      </c>
      <c r="I958" t="s">
        <v>24</v>
      </c>
      <c r="J958" t="s">
        <v>57</v>
      </c>
      <c r="K958" s="6">
        <f t="shared" si="29"/>
        <v>2.4</v>
      </c>
      <c r="L958" t="s">
        <v>64</v>
      </c>
      <c r="M958">
        <f t="shared" si="28"/>
        <v>7</v>
      </c>
      <c r="N958" t="s">
        <v>27</v>
      </c>
      <c r="O958" t="s">
        <v>103</v>
      </c>
      <c r="P958" s="2">
        <v>213</v>
      </c>
      <c r="Q958" t="s">
        <v>29</v>
      </c>
      <c r="R958" t="s">
        <v>30</v>
      </c>
      <c r="S958" t="s">
        <v>31</v>
      </c>
      <c r="T958" t="s">
        <v>32</v>
      </c>
    </row>
    <row r="959" spans="1:20" x14ac:dyDescent="0.25">
      <c r="A959" s="2">
        <v>958</v>
      </c>
      <c r="B959" s="2">
        <v>26103</v>
      </c>
      <c r="C959" t="s">
        <v>51</v>
      </c>
      <c r="D959" t="s">
        <v>52</v>
      </c>
      <c r="E959" t="s">
        <v>101</v>
      </c>
      <c r="F959" t="s">
        <v>80</v>
      </c>
      <c r="G959" t="s">
        <v>81</v>
      </c>
      <c r="H959" t="s">
        <v>73</v>
      </c>
      <c r="I959" t="s">
        <v>24</v>
      </c>
      <c r="J959" t="s">
        <v>25</v>
      </c>
      <c r="K959" s="6">
        <f t="shared" si="29"/>
        <v>0.6</v>
      </c>
      <c r="L959" t="s">
        <v>64</v>
      </c>
      <c r="M959">
        <f t="shared" si="28"/>
        <v>7</v>
      </c>
      <c r="N959" t="s">
        <v>27</v>
      </c>
      <c r="O959" t="s">
        <v>28</v>
      </c>
      <c r="P959" s="2">
        <v>1325</v>
      </c>
      <c r="Q959" t="s">
        <v>29</v>
      </c>
      <c r="R959" t="s">
        <v>68</v>
      </c>
      <c r="S959" t="s">
        <v>31</v>
      </c>
      <c r="T959" t="s">
        <v>32</v>
      </c>
    </row>
    <row r="960" spans="1:20" x14ac:dyDescent="0.25">
      <c r="A960" s="2">
        <v>959</v>
      </c>
      <c r="B960" s="2">
        <v>63203</v>
      </c>
      <c r="C960" t="s">
        <v>51</v>
      </c>
      <c r="D960" t="s">
        <v>66</v>
      </c>
      <c r="E960" t="s">
        <v>97</v>
      </c>
      <c r="F960" t="s">
        <v>62</v>
      </c>
      <c r="G960" t="s">
        <v>98</v>
      </c>
      <c r="H960" t="s">
        <v>46</v>
      </c>
      <c r="I960" t="s">
        <v>24</v>
      </c>
      <c r="J960" t="s">
        <v>57</v>
      </c>
      <c r="K960" s="6">
        <f t="shared" si="29"/>
        <v>2.4</v>
      </c>
      <c r="L960" t="s">
        <v>64</v>
      </c>
      <c r="M960">
        <f t="shared" si="28"/>
        <v>7</v>
      </c>
      <c r="N960" t="s">
        <v>27</v>
      </c>
      <c r="O960" t="s">
        <v>103</v>
      </c>
      <c r="P960" s="2">
        <v>547</v>
      </c>
      <c r="Q960" t="s">
        <v>29</v>
      </c>
      <c r="R960" t="s">
        <v>30</v>
      </c>
      <c r="S960" t="s">
        <v>31</v>
      </c>
      <c r="T960" t="s">
        <v>59</v>
      </c>
    </row>
    <row r="961" spans="1:20" x14ac:dyDescent="0.25">
      <c r="A961" s="2">
        <v>960</v>
      </c>
      <c r="B961" s="2">
        <v>82266</v>
      </c>
      <c r="C961" t="s">
        <v>51</v>
      </c>
      <c r="D961" t="s">
        <v>66</v>
      </c>
      <c r="E961" t="s">
        <v>61</v>
      </c>
      <c r="F961" t="s">
        <v>62</v>
      </c>
      <c r="G961" t="s">
        <v>92</v>
      </c>
      <c r="H961" t="s">
        <v>46</v>
      </c>
      <c r="I961" t="s">
        <v>83</v>
      </c>
      <c r="J961" t="s">
        <v>25</v>
      </c>
      <c r="K961" s="6">
        <f t="shared" si="29"/>
        <v>0.55000000000000004</v>
      </c>
      <c r="L961" t="s">
        <v>26</v>
      </c>
      <c r="M961">
        <f t="shared" si="28"/>
        <v>1</v>
      </c>
      <c r="N961" t="s">
        <v>27</v>
      </c>
      <c r="O961" t="s">
        <v>82</v>
      </c>
      <c r="P961" s="2">
        <v>372</v>
      </c>
      <c r="Q961" t="s">
        <v>41</v>
      </c>
      <c r="R961" t="s">
        <v>68</v>
      </c>
      <c r="S961" t="s">
        <v>69</v>
      </c>
      <c r="T961" t="s">
        <v>59</v>
      </c>
    </row>
    <row r="962" spans="1:20" x14ac:dyDescent="0.25">
      <c r="A962" s="2">
        <v>961</v>
      </c>
      <c r="B962" s="2">
        <v>55015</v>
      </c>
      <c r="C962" t="s">
        <v>51</v>
      </c>
      <c r="D962" t="s">
        <v>52</v>
      </c>
      <c r="E962" t="s">
        <v>20</v>
      </c>
      <c r="F962" t="s">
        <v>21</v>
      </c>
      <c r="G962" t="s">
        <v>45</v>
      </c>
      <c r="H962" t="s">
        <v>71</v>
      </c>
      <c r="I962" t="s">
        <v>24</v>
      </c>
      <c r="J962" t="s">
        <v>25</v>
      </c>
      <c r="K962" s="6">
        <f t="shared" si="29"/>
        <v>0.6</v>
      </c>
      <c r="L962" t="s">
        <v>64</v>
      </c>
      <c r="M962">
        <f t="shared" ref="M962:M1001" si="30">IF(L962="daily",7,IF(L962="weekly",3,1))</f>
        <v>7</v>
      </c>
      <c r="N962" t="s">
        <v>27</v>
      </c>
      <c r="O962" t="s">
        <v>103</v>
      </c>
      <c r="P962" s="2">
        <v>194</v>
      </c>
      <c r="Q962" t="s">
        <v>74</v>
      </c>
      <c r="R962" t="s">
        <v>68</v>
      </c>
      <c r="S962" t="s">
        <v>58</v>
      </c>
      <c r="T962" t="s">
        <v>32</v>
      </c>
    </row>
    <row r="963" spans="1:20" x14ac:dyDescent="0.25">
      <c r="A963" s="2">
        <v>962</v>
      </c>
      <c r="B963" s="2">
        <v>67053</v>
      </c>
      <c r="C963" t="s">
        <v>51</v>
      </c>
      <c r="D963" t="s">
        <v>52</v>
      </c>
      <c r="E963" t="s">
        <v>20</v>
      </c>
      <c r="F963" t="s">
        <v>21</v>
      </c>
      <c r="G963" t="s">
        <v>92</v>
      </c>
      <c r="H963" t="s">
        <v>37</v>
      </c>
      <c r="I963" t="s">
        <v>24</v>
      </c>
      <c r="J963" t="s">
        <v>25</v>
      </c>
      <c r="K963" s="6">
        <f t="shared" ref="K963:K1001" si="31">IF(R963="Morning",2,IF(R963="Night",2,IF(R963="Evening",1,0.5)))
*
IF(I963="Espresso",0.75,IF(I963="Cold Brew",1.25,IF(I963="Filter Coffee",1.2,IF(I963="Instant Coffee",1,1.1))))</f>
        <v>2.4</v>
      </c>
      <c r="L963" t="s">
        <v>26</v>
      </c>
      <c r="M963">
        <f t="shared" si="30"/>
        <v>1</v>
      </c>
      <c r="N963" t="s">
        <v>27</v>
      </c>
      <c r="O963" t="s">
        <v>65</v>
      </c>
      <c r="P963" s="2">
        <v>1252</v>
      </c>
      <c r="Q963" t="s">
        <v>29</v>
      </c>
      <c r="R963" t="s">
        <v>30</v>
      </c>
      <c r="S963" t="s">
        <v>31</v>
      </c>
      <c r="T963" t="s">
        <v>32</v>
      </c>
    </row>
    <row r="964" spans="1:20" x14ac:dyDescent="0.25">
      <c r="A964" s="2">
        <v>963</v>
      </c>
      <c r="B964" s="2">
        <v>70708</v>
      </c>
      <c r="C964" t="s">
        <v>33</v>
      </c>
      <c r="D964" t="s">
        <v>52</v>
      </c>
      <c r="E964" t="s">
        <v>101</v>
      </c>
      <c r="F964" t="s">
        <v>80</v>
      </c>
      <c r="G964" t="s">
        <v>98</v>
      </c>
      <c r="H964" t="s">
        <v>23</v>
      </c>
      <c r="I964" t="s">
        <v>24</v>
      </c>
      <c r="J964" t="s">
        <v>25</v>
      </c>
      <c r="K964" s="6">
        <f t="shared" si="31"/>
        <v>1.2</v>
      </c>
      <c r="L964" t="s">
        <v>64</v>
      </c>
      <c r="M964">
        <f t="shared" si="30"/>
        <v>7</v>
      </c>
      <c r="N964" t="s">
        <v>27</v>
      </c>
      <c r="O964" t="s">
        <v>65</v>
      </c>
      <c r="P964" s="2">
        <v>734</v>
      </c>
      <c r="Q964" t="s">
        <v>74</v>
      </c>
      <c r="R964" t="s">
        <v>42</v>
      </c>
      <c r="S964" t="s">
        <v>31</v>
      </c>
      <c r="T964" t="s">
        <v>32</v>
      </c>
    </row>
    <row r="965" spans="1:20" x14ac:dyDescent="0.25">
      <c r="A965" s="2">
        <v>964</v>
      </c>
      <c r="B965" s="2">
        <v>66658</v>
      </c>
      <c r="C965" t="s">
        <v>33</v>
      </c>
      <c r="D965" t="s">
        <v>52</v>
      </c>
      <c r="E965" t="s">
        <v>44</v>
      </c>
      <c r="F965" t="s">
        <v>44</v>
      </c>
      <c r="G965" t="s">
        <v>55</v>
      </c>
      <c r="H965" t="s">
        <v>46</v>
      </c>
      <c r="I965" t="s">
        <v>47</v>
      </c>
      <c r="J965" t="s">
        <v>57</v>
      </c>
      <c r="K965" s="6">
        <f t="shared" si="31"/>
        <v>1.25</v>
      </c>
      <c r="L965" t="s">
        <v>26</v>
      </c>
      <c r="M965">
        <f t="shared" si="30"/>
        <v>1</v>
      </c>
      <c r="N965" t="s">
        <v>104</v>
      </c>
      <c r="O965" t="s">
        <v>82</v>
      </c>
      <c r="P965" s="2">
        <v>554</v>
      </c>
      <c r="Q965" t="s">
        <v>41</v>
      </c>
      <c r="R965" t="s">
        <v>42</v>
      </c>
      <c r="S965" t="s">
        <v>31</v>
      </c>
      <c r="T965" t="s">
        <v>43</v>
      </c>
    </row>
    <row r="966" spans="1:20" x14ac:dyDescent="0.25">
      <c r="A966" s="2">
        <v>965</v>
      </c>
      <c r="B966" s="2">
        <v>51555</v>
      </c>
      <c r="C966" t="s">
        <v>96</v>
      </c>
      <c r="D966" t="s">
        <v>52</v>
      </c>
      <c r="E966" t="s">
        <v>93</v>
      </c>
      <c r="F966" t="s">
        <v>62</v>
      </c>
      <c r="G966" t="s">
        <v>63</v>
      </c>
      <c r="H966" t="s">
        <v>23</v>
      </c>
      <c r="I966" t="s">
        <v>67</v>
      </c>
      <c r="J966" t="s">
        <v>48</v>
      </c>
      <c r="K966" s="6">
        <f t="shared" si="31"/>
        <v>0.55000000000000004</v>
      </c>
      <c r="L966" t="s">
        <v>26</v>
      </c>
      <c r="M966">
        <f t="shared" si="30"/>
        <v>1</v>
      </c>
      <c r="N966" t="s">
        <v>27</v>
      </c>
      <c r="O966" t="s">
        <v>28</v>
      </c>
      <c r="P966" s="2">
        <v>510</v>
      </c>
      <c r="Q966" t="s">
        <v>104</v>
      </c>
      <c r="R966" t="s">
        <v>68</v>
      </c>
      <c r="S966" t="s">
        <v>69</v>
      </c>
      <c r="T966" t="s">
        <v>43</v>
      </c>
    </row>
    <row r="967" spans="1:20" x14ac:dyDescent="0.25">
      <c r="A967" s="2">
        <v>966</v>
      </c>
      <c r="B967" s="2">
        <v>33022</v>
      </c>
      <c r="C967" t="s">
        <v>60</v>
      </c>
      <c r="D967" t="s">
        <v>66</v>
      </c>
      <c r="E967" t="s">
        <v>89</v>
      </c>
      <c r="F967" t="s">
        <v>90</v>
      </c>
      <c r="G967" t="s">
        <v>92</v>
      </c>
      <c r="H967" t="s">
        <v>23</v>
      </c>
      <c r="I967" t="s">
        <v>67</v>
      </c>
      <c r="J967" t="s">
        <v>57</v>
      </c>
      <c r="K967" s="6">
        <f t="shared" si="31"/>
        <v>0.55000000000000004</v>
      </c>
      <c r="L967" t="s">
        <v>49</v>
      </c>
      <c r="M967">
        <f t="shared" si="30"/>
        <v>3</v>
      </c>
      <c r="N967" t="s">
        <v>40</v>
      </c>
      <c r="O967" t="s">
        <v>65</v>
      </c>
      <c r="P967" s="2">
        <v>825</v>
      </c>
      <c r="Q967" t="s">
        <v>41</v>
      </c>
      <c r="R967" t="s">
        <v>68</v>
      </c>
      <c r="S967" t="s">
        <v>58</v>
      </c>
      <c r="T967" t="s">
        <v>59</v>
      </c>
    </row>
    <row r="968" spans="1:20" x14ac:dyDescent="0.25">
      <c r="A968" s="2">
        <v>967</v>
      </c>
      <c r="B968" s="2">
        <v>52108</v>
      </c>
      <c r="C968" t="s">
        <v>19</v>
      </c>
      <c r="D968" t="s">
        <v>52</v>
      </c>
      <c r="E968" t="s">
        <v>20</v>
      </c>
      <c r="F968" t="s">
        <v>21</v>
      </c>
      <c r="G968" t="s">
        <v>22</v>
      </c>
      <c r="H968" t="s">
        <v>71</v>
      </c>
      <c r="I968" t="s">
        <v>24</v>
      </c>
      <c r="J968" t="s">
        <v>25</v>
      </c>
      <c r="K968" s="6">
        <f t="shared" si="31"/>
        <v>2.4</v>
      </c>
      <c r="L968" t="s">
        <v>64</v>
      </c>
      <c r="M968">
        <f t="shared" si="30"/>
        <v>7</v>
      </c>
      <c r="N968" t="s">
        <v>27</v>
      </c>
      <c r="O968" t="s">
        <v>103</v>
      </c>
      <c r="P968" s="2">
        <v>388</v>
      </c>
      <c r="Q968" t="s">
        <v>29</v>
      </c>
      <c r="R968" t="s">
        <v>75</v>
      </c>
      <c r="S968" t="s">
        <v>50</v>
      </c>
      <c r="T968" t="s">
        <v>32</v>
      </c>
    </row>
    <row r="969" spans="1:20" x14ac:dyDescent="0.25">
      <c r="A969" s="2">
        <v>968</v>
      </c>
      <c r="B969" s="2">
        <v>84731</v>
      </c>
      <c r="C969" t="s">
        <v>19</v>
      </c>
      <c r="D969" t="s">
        <v>66</v>
      </c>
      <c r="E969" t="s">
        <v>101</v>
      </c>
      <c r="F969" t="s">
        <v>80</v>
      </c>
      <c r="G969" t="s">
        <v>78</v>
      </c>
      <c r="H969" t="s">
        <v>46</v>
      </c>
      <c r="I969" t="s">
        <v>67</v>
      </c>
      <c r="J969" t="s">
        <v>25</v>
      </c>
      <c r="K969" s="6">
        <f t="shared" si="31"/>
        <v>0.55000000000000004</v>
      </c>
      <c r="L969" t="s">
        <v>26</v>
      </c>
      <c r="M969">
        <f t="shared" si="30"/>
        <v>1</v>
      </c>
      <c r="N969" t="s">
        <v>104</v>
      </c>
      <c r="O969" t="s">
        <v>102</v>
      </c>
      <c r="P969" s="2">
        <v>496</v>
      </c>
      <c r="Q969" t="s">
        <v>41</v>
      </c>
      <c r="R969" t="s">
        <v>68</v>
      </c>
      <c r="S969" t="s">
        <v>31</v>
      </c>
      <c r="T969" t="s">
        <v>32</v>
      </c>
    </row>
    <row r="970" spans="1:20" x14ac:dyDescent="0.25">
      <c r="A970" s="2">
        <v>969</v>
      </c>
      <c r="B970" s="2">
        <v>40638</v>
      </c>
      <c r="C970" t="s">
        <v>19</v>
      </c>
      <c r="D970" t="s">
        <v>52</v>
      </c>
      <c r="E970" t="s">
        <v>44</v>
      </c>
      <c r="F970" t="s">
        <v>44</v>
      </c>
      <c r="G970" t="s">
        <v>98</v>
      </c>
      <c r="H970" t="s">
        <v>37</v>
      </c>
      <c r="I970" t="s">
        <v>91</v>
      </c>
      <c r="J970" t="s">
        <v>57</v>
      </c>
      <c r="K970" s="6">
        <f t="shared" si="31"/>
        <v>1.1000000000000001</v>
      </c>
      <c r="L970" t="s">
        <v>49</v>
      </c>
      <c r="M970">
        <f t="shared" si="30"/>
        <v>3</v>
      </c>
      <c r="N970" t="s">
        <v>27</v>
      </c>
      <c r="O970" t="s">
        <v>72</v>
      </c>
      <c r="P970" s="2">
        <v>1956</v>
      </c>
      <c r="Q970" t="s">
        <v>104</v>
      </c>
      <c r="R970" t="s">
        <v>42</v>
      </c>
      <c r="S970" t="s">
        <v>69</v>
      </c>
      <c r="T970" t="s">
        <v>43</v>
      </c>
    </row>
    <row r="971" spans="1:20" x14ac:dyDescent="0.25">
      <c r="A971" s="2">
        <v>970</v>
      </c>
      <c r="B971" s="2">
        <v>68719</v>
      </c>
      <c r="C971" t="s">
        <v>51</v>
      </c>
      <c r="D971" t="s">
        <v>52</v>
      </c>
      <c r="E971" t="s">
        <v>95</v>
      </c>
      <c r="F971" t="s">
        <v>21</v>
      </c>
      <c r="G971" t="s">
        <v>78</v>
      </c>
      <c r="H971" t="s">
        <v>23</v>
      </c>
      <c r="I971" t="s">
        <v>24</v>
      </c>
      <c r="J971" t="s">
        <v>86</v>
      </c>
      <c r="K971" s="6">
        <f t="shared" si="31"/>
        <v>2.4</v>
      </c>
      <c r="L971" t="s">
        <v>64</v>
      </c>
      <c r="M971">
        <f t="shared" si="30"/>
        <v>7</v>
      </c>
      <c r="N971" t="s">
        <v>40</v>
      </c>
      <c r="O971" t="s">
        <v>103</v>
      </c>
      <c r="P971" s="2">
        <v>588</v>
      </c>
      <c r="Q971" t="s">
        <v>104</v>
      </c>
      <c r="R971" t="s">
        <v>75</v>
      </c>
      <c r="S971" t="s">
        <v>58</v>
      </c>
      <c r="T971" t="s">
        <v>43</v>
      </c>
    </row>
    <row r="972" spans="1:20" x14ac:dyDescent="0.25">
      <c r="A972" s="2">
        <v>971</v>
      </c>
      <c r="B972" s="2">
        <v>81414</v>
      </c>
      <c r="C972" t="s">
        <v>51</v>
      </c>
      <c r="D972" t="s">
        <v>52</v>
      </c>
      <c r="E972" t="s">
        <v>76</v>
      </c>
      <c r="F972" t="s">
        <v>77</v>
      </c>
      <c r="G972" t="s">
        <v>63</v>
      </c>
      <c r="H972" t="s">
        <v>46</v>
      </c>
      <c r="I972" t="s">
        <v>94</v>
      </c>
      <c r="J972" t="s">
        <v>57</v>
      </c>
      <c r="K972" s="6">
        <f t="shared" si="31"/>
        <v>1.5</v>
      </c>
      <c r="L972" t="s">
        <v>64</v>
      </c>
      <c r="M972">
        <f t="shared" si="30"/>
        <v>7</v>
      </c>
      <c r="N972" t="s">
        <v>27</v>
      </c>
      <c r="O972" t="s">
        <v>28</v>
      </c>
      <c r="P972" s="2">
        <v>319</v>
      </c>
      <c r="Q972" t="s">
        <v>74</v>
      </c>
      <c r="R972" t="s">
        <v>30</v>
      </c>
      <c r="S972" t="s">
        <v>58</v>
      </c>
      <c r="T972" t="s">
        <v>43</v>
      </c>
    </row>
    <row r="973" spans="1:20" x14ac:dyDescent="0.25">
      <c r="A973" s="2">
        <v>972</v>
      </c>
      <c r="B973" s="2">
        <v>94725</v>
      </c>
      <c r="C973" t="s">
        <v>33</v>
      </c>
      <c r="D973" t="s">
        <v>52</v>
      </c>
      <c r="E973" t="s">
        <v>101</v>
      </c>
      <c r="F973" t="s">
        <v>80</v>
      </c>
      <c r="G973" t="s">
        <v>45</v>
      </c>
      <c r="H973" t="s">
        <v>73</v>
      </c>
      <c r="I973" t="s">
        <v>94</v>
      </c>
      <c r="J973" t="s">
        <v>39</v>
      </c>
      <c r="K973" s="6">
        <f t="shared" si="31"/>
        <v>1.5</v>
      </c>
      <c r="L973" t="s">
        <v>49</v>
      </c>
      <c r="M973">
        <f t="shared" si="30"/>
        <v>3</v>
      </c>
      <c r="N973" t="s">
        <v>27</v>
      </c>
      <c r="O973" t="s">
        <v>103</v>
      </c>
      <c r="P973" s="2">
        <v>1351</v>
      </c>
      <c r="Q973" t="s">
        <v>41</v>
      </c>
      <c r="R973" t="s">
        <v>30</v>
      </c>
      <c r="S973" t="s">
        <v>69</v>
      </c>
      <c r="T973" t="s">
        <v>32</v>
      </c>
    </row>
    <row r="974" spans="1:20" x14ac:dyDescent="0.25">
      <c r="A974" s="2">
        <v>973</v>
      </c>
      <c r="B974" s="2">
        <v>41608</v>
      </c>
      <c r="C974" t="s">
        <v>60</v>
      </c>
      <c r="D974" t="s">
        <v>66</v>
      </c>
      <c r="E974" t="s">
        <v>97</v>
      </c>
      <c r="F974" t="s">
        <v>62</v>
      </c>
      <c r="G974" t="s">
        <v>92</v>
      </c>
      <c r="H974" t="s">
        <v>73</v>
      </c>
      <c r="I974" t="s">
        <v>47</v>
      </c>
      <c r="J974" t="s">
        <v>25</v>
      </c>
      <c r="K974" s="6">
        <f t="shared" si="31"/>
        <v>1.25</v>
      </c>
      <c r="L974" t="s">
        <v>64</v>
      </c>
      <c r="M974">
        <f t="shared" si="30"/>
        <v>7</v>
      </c>
      <c r="N974" t="s">
        <v>40</v>
      </c>
      <c r="O974" t="s">
        <v>103</v>
      </c>
      <c r="P974" s="2">
        <v>1027</v>
      </c>
      <c r="Q974" t="s">
        <v>41</v>
      </c>
      <c r="R974" t="s">
        <v>42</v>
      </c>
      <c r="S974" t="s">
        <v>31</v>
      </c>
      <c r="T974" t="s">
        <v>59</v>
      </c>
    </row>
    <row r="975" spans="1:20" x14ac:dyDescent="0.25">
      <c r="A975" s="2">
        <v>974</v>
      </c>
      <c r="B975" s="2">
        <v>84241</v>
      </c>
      <c r="C975" t="s">
        <v>19</v>
      </c>
      <c r="D975" t="s">
        <v>52</v>
      </c>
      <c r="E975" t="s">
        <v>93</v>
      </c>
      <c r="F975" t="s">
        <v>62</v>
      </c>
      <c r="G975" t="s">
        <v>45</v>
      </c>
      <c r="H975" t="s">
        <v>23</v>
      </c>
      <c r="I975" t="s">
        <v>56</v>
      </c>
      <c r="J975" t="s">
        <v>48</v>
      </c>
      <c r="K975" s="6">
        <f t="shared" si="31"/>
        <v>0.55000000000000004</v>
      </c>
      <c r="L975" t="s">
        <v>64</v>
      </c>
      <c r="M975">
        <f t="shared" si="30"/>
        <v>7</v>
      </c>
      <c r="N975" t="s">
        <v>40</v>
      </c>
      <c r="O975" t="s">
        <v>103</v>
      </c>
      <c r="P975" s="2">
        <v>416</v>
      </c>
      <c r="Q975" t="s">
        <v>104</v>
      </c>
      <c r="R975" t="s">
        <v>68</v>
      </c>
      <c r="S975" t="s">
        <v>69</v>
      </c>
      <c r="T975" t="s">
        <v>43</v>
      </c>
    </row>
    <row r="976" spans="1:20" x14ac:dyDescent="0.25">
      <c r="A976" s="2">
        <v>975</v>
      </c>
      <c r="B976" s="2">
        <v>35272</v>
      </c>
      <c r="C976" t="s">
        <v>33</v>
      </c>
      <c r="D976" t="s">
        <v>66</v>
      </c>
      <c r="E976" t="s">
        <v>79</v>
      </c>
      <c r="F976" t="s">
        <v>80</v>
      </c>
      <c r="G976" t="s">
        <v>81</v>
      </c>
      <c r="H976" t="s">
        <v>37</v>
      </c>
      <c r="I976" t="s">
        <v>91</v>
      </c>
      <c r="J976" t="s">
        <v>48</v>
      </c>
      <c r="K976" s="6">
        <f t="shared" si="31"/>
        <v>2.2000000000000002</v>
      </c>
      <c r="L976" t="s">
        <v>49</v>
      </c>
      <c r="M976">
        <f t="shared" si="30"/>
        <v>3</v>
      </c>
      <c r="N976" t="s">
        <v>40</v>
      </c>
      <c r="O976" t="s">
        <v>28</v>
      </c>
      <c r="P976" s="2">
        <v>2444</v>
      </c>
      <c r="Q976" t="s">
        <v>29</v>
      </c>
      <c r="R976" t="s">
        <v>75</v>
      </c>
      <c r="S976" t="s">
        <v>31</v>
      </c>
      <c r="T976" t="s">
        <v>43</v>
      </c>
    </row>
    <row r="977" spans="1:20" x14ac:dyDescent="0.25">
      <c r="A977" s="2">
        <v>976</v>
      </c>
      <c r="B977" s="2">
        <v>72691</v>
      </c>
      <c r="C977" t="s">
        <v>33</v>
      </c>
      <c r="D977" t="s">
        <v>66</v>
      </c>
      <c r="E977" t="s">
        <v>34</v>
      </c>
      <c r="F977" t="s">
        <v>35</v>
      </c>
      <c r="G977" t="s">
        <v>55</v>
      </c>
      <c r="H977" t="s">
        <v>46</v>
      </c>
      <c r="I977" t="s">
        <v>83</v>
      </c>
      <c r="J977" t="s">
        <v>57</v>
      </c>
      <c r="K977" s="6">
        <f t="shared" si="31"/>
        <v>0.55000000000000004</v>
      </c>
      <c r="L977" t="s">
        <v>64</v>
      </c>
      <c r="M977">
        <f t="shared" si="30"/>
        <v>7</v>
      </c>
      <c r="N977" t="s">
        <v>40</v>
      </c>
      <c r="O977" t="s">
        <v>102</v>
      </c>
      <c r="P977" s="2">
        <v>491</v>
      </c>
      <c r="Q977" t="s">
        <v>104</v>
      </c>
      <c r="R977" t="s">
        <v>68</v>
      </c>
      <c r="S977" t="s">
        <v>31</v>
      </c>
      <c r="T977" t="s">
        <v>43</v>
      </c>
    </row>
    <row r="978" spans="1:20" x14ac:dyDescent="0.25">
      <c r="A978" s="2">
        <v>977</v>
      </c>
      <c r="B978" s="2">
        <v>43762</v>
      </c>
      <c r="C978" t="s">
        <v>51</v>
      </c>
      <c r="D978" t="s">
        <v>52</v>
      </c>
      <c r="E978" t="s">
        <v>95</v>
      </c>
      <c r="F978" t="s">
        <v>21</v>
      </c>
      <c r="G978" t="s">
        <v>55</v>
      </c>
      <c r="H978" t="s">
        <v>71</v>
      </c>
      <c r="I978" t="s">
        <v>94</v>
      </c>
      <c r="J978" t="s">
        <v>57</v>
      </c>
      <c r="K978" s="6">
        <f t="shared" si="31"/>
        <v>0.375</v>
      </c>
      <c r="L978" t="s">
        <v>64</v>
      </c>
      <c r="M978">
        <f t="shared" si="30"/>
        <v>7</v>
      </c>
      <c r="N978" t="s">
        <v>40</v>
      </c>
      <c r="O978" t="s">
        <v>102</v>
      </c>
      <c r="P978" s="2">
        <v>290</v>
      </c>
      <c r="Q978" t="s">
        <v>74</v>
      </c>
      <c r="R978" t="s">
        <v>68</v>
      </c>
      <c r="S978" t="s">
        <v>58</v>
      </c>
      <c r="T978" t="s">
        <v>43</v>
      </c>
    </row>
    <row r="979" spans="1:20" x14ac:dyDescent="0.25">
      <c r="A979" s="2">
        <v>978</v>
      </c>
      <c r="B979" s="2">
        <v>58372</v>
      </c>
      <c r="C979" t="s">
        <v>96</v>
      </c>
      <c r="D979" t="s">
        <v>66</v>
      </c>
      <c r="E979" t="s">
        <v>89</v>
      </c>
      <c r="F979" t="s">
        <v>90</v>
      </c>
      <c r="G979" t="s">
        <v>98</v>
      </c>
      <c r="H979" t="s">
        <v>71</v>
      </c>
      <c r="I979" t="s">
        <v>47</v>
      </c>
      <c r="J979" t="s">
        <v>57</v>
      </c>
      <c r="K979" s="6">
        <f t="shared" si="31"/>
        <v>2.5</v>
      </c>
      <c r="L979" t="s">
        <v>49</v>
      </c>
      <c r="M979">
        <f t="shared" si="30"/>
        <v>3</v>
      </c>
      <c r="N979" t="s">
        <v>40</v>
      </c>
      <c r="O979" t="s">
        <v>82</v>
      </c>
      <c r="P979" s="2">
        <v>379</v>
      </c>
      <c r="Q979" t="s">
        <v>41</v>
      </c>
      <c r="R979" t="s">
        <v>75</v>
      </c>
      <c r="S979" t="s">
        <v>69</v>
      </c>
      <c r="T979" t="s">
        <v>59</v>
      </c>
    </row>
    <row r="980" spans="1:20" x14ac:dyDescent="0.25">
      <c r="A980" s="2">
        <v>979</v>
      </c>
      <c r="B980" s="2">
        <v>13046</v>
      </c>
      <c r="C980" t="s">
        <v>19</v>
      </c>
      <c r="D980" t="s">
        <v>52</v>
      </c>
      <c r="E980" t="s">
        <v>44</v>
      </c>
      <c r="F980" t="s">
        <v>44</v>
      </c>
      <c r="G980" t="s">
        <v>45</v>
      </c>
      <c r="H980" t="s">
        <v>71</v>
      </c>
      <c r="I980" t="s">
        <v>83</v>
      </c>
      <c r="J980" t="s">
        <v>57</v>
      </c>
      <c r="K980" s="6">
        <f t="shared" si="31"/>
        <v>2.2000000000000002</v>
      </c>
      <c r="L980" t="s">
        <v>64</v>
      </c>
      <c r="M980">
        <f t="shared" si="30"/>
        <v>7</v>
      </c>
      <c r="N980" t="s">
        <v>27</v>
      </c>
      <c r="O980" t="s">
        <v>72</v>
      </c>
      <c r="P980" s="2">
        <v>399</v>
      </c>
      <c r="Q980" t="s">
        <v>104</v>
      </c>
      <c r="R980" t="s">
        <v>75</v>
      </c>
      <c r="S980" t="s">
        <v>31</v>
      </c>
      <c r="T980" t="s">
        <v>43</v>
      </c>
    </row>
    <row r="981" spans="1:20" x14ac:dyDescent="0.25">
      <c r="A981" s="2">
        <v>980</v>
      </c>
      <c r="B981" s="2">
        <v>63387</v>
      </c>
      <c r="C981" t="s">
        <v>33</v>
      </c>
      <c r="D981" t="s">
        <v>52</v>
      </c>
      <c r="E981" t="s">
        <v>76</v>
      </c>
      <c r="F981" t="s">
        <v>77</v>
      </c>
      <c r="G981" t="s">
        <v>22</v>
      </c>
      <c r="H981" t="s">
        <v>46</v>
      </c>
      <c r="I981" t="s">
        <v>47</v>
      </c>
      <c r="J981" t="s">
        <v>57</v>
      </c>
      <c r="K981" s="6">
        <f t="shared" si="31"/>
        <v>0.625</v>
      </c>
      <c r="L981" t="s">
        <v>64</v>
      </c>
      <c r="M981">
        <f t="shared" si="30"/>
        <v>7</v>
      </c>
      <c r="N981" t="s">
        <v>27</v>
      </c>
      <c r="O981" t="s">
        <v>103</v>
      </c>
      <c r="P981" s="2">
        <v>432</v>
      </c>
      <c r="Q981" t="s">
        <v>41</v>
      </c>
      <c r="R981" t="s">
        <v>68</v>
      </c>
      <c r="S981" t="s">
        <v>50</v>
      </c>
      <c r="T981" t="s">
        <v>43</v>
      </c>
    </row>
    <row r="982" spans="1:20" x14ac:dyDescent="0.25">
      <c r="A982" s="2">
        <v>981</v>
      </c>
      <c r="B982" s="2">
        <v>63270</v>
      </c>
      <c r="C982" t="s">
        <v>19</v>
      </c>
      <c r="D982" t="s">
        <v>52</v>
      </c>
      <c r="E982" t="s">
        <v>20</v>
      </c>
      <c r="F982" t="s">
        <v>21</v>
      </c>
      <c r="G982" t="s">
        <v>45</v>
      </c>
      <c r="H982" t="s">
        <v>73</v>
      </c>
      <c r="I982" t="s">
        <v>94</v>
      </c>
      <c r="J982" t="s">
        <v>25</v>
      </c>
      <c r="K982" s="6">
        <f t="shared" si="31"/>
        <v>0.375</v>
      </c>
      <c r="L982" t="s">
        <v>49</v>
      </c>
      <c r="M982">
        <f t="shared" si="30"/>
        <v>3</v>
      </c>
      <c r="N982" t="s">
        <v>104</v>
      </c>
      <c r="O982" t="s">
        <v>103</v>
      </c>
      <c r="P982" s="2">
        <v>1243</v>
      </c>
      <c r="Q982" t="s">
        <v>104</v>
      </c>
      <c r="R982" t="s">
        <v>68</v>
      </c>
      <c r="S982" t="s">
        <v>50</v>
      </c>
      <c r="T982" t="s">
        <v>32</v>
      </c>
    </row>
    <row r="983" spans="1:20" x14ac:dyDescent="0.25">
      <c r="A983" s="2">
        <v>982</v>
      </c>
      <c r="B983" s="2">
        <v>36223</v>
      </c>
      <c r="C983" t="s">
        <v>51</v>
      </c>
      <c r="D983" t="s">
        <v>52</v>
      </c>
      <c r="E983" t="s">
        <v>53</v>
      </c>
      <c r="F983" t="s">
        <v>54</v>
      </c>
      <c r="G983" t="s">
        <v>36</v>
      </c>
      <c r="H983" t="s">
        <v>23</v>
      </c>
      <c r="I983" t="s">
        <v>56</v>
      </c>
      <c r="J983" t="s">
        <v>57</v>
      </c>
      <c r="K983" s="6">
        <f t="shared" si="31"/>
        <v>2.2000000000000002</v>
      </c>
      <c r="L983" t="s">
        <v>64</v>
      </c>
      <c r="M983">
        <f t="shared" si="30"/>
        <v>7</v>
      </c>
      <c r="N983" t="s">
        <v>27</v>
      </c>
      <c r="O983" t="s">
        <v>82</v>
      </c>
      <c r="P983" s="2">
        <v>717</v>
      </c>
      <c r="Q983" t="s">
        <v>29</v>
      </c>
      <c r="R983" t="s">
        <v>30</v>
      </c>
      <c r="S983" t="s">
        <v>58</v>
      </c>
      <c r="T983" t="s">
        <v>59</v>
      </c>
    </row>
    <row r="984" spans="1:20" x14ac:dyDescent="0.25">
      <c r="A984" s="2">
        <v>983</v>
      </c>
      <c r="B984" s="2">
        <v>96422</v>
      </c>
      <c r="C984" t="s">
        <v>51</v>
      </c>
      <c r="D984" t="s">
        <v>52</v>
      </c>
      <c r="E984" t="s">
        <v>95</v>
      </c>
      <c r="F984" t="s">
        <v>21</v>
      </c>
      <c r="G984" t="s">
        <v>45</v>
      </c>
      <c r="H984" t="s">
        <v>23</v>
      </c>
      <c r="I984" t="s">
        <v>56</v>
      </c>
      <c r="J984" t="s">
        <v>57</v>
      </c>
      <c r="K984" s="6">
        <f t="shared" si="31"/>
        <v>2.2000000000000002</v>
      </c>
      <c r="L984" t="s">
        <v>64</v>
      </c>
      <c r="M984">
        <f t="shared" si="30"/>
        <v>7</v>
      </c>
      <c r="N984" t="s">
        <v>104</v>
      </c>
      <c r="O984" t="s">
        <v>103</v>
      </c>
      <c r="P984" s="2">
        <v>516</v>
      </c>
      <c r="Q984" t="s">
        <v>41</v>
      </c>
      <c r="R984" t="s">
        <v>30</v>
      </c>
      <c r="S984" t="s">
        <v>31</v>
      </c>
      <c r="T984" t="s">
        <v>43</v>
      </c>
    </row>
    <row r="985" spans="1:20" x14ac:dyDescent="0.25">
      <c r="A985" s="2">
        <v>984</v>
      </c>
      <c r="B985" s="2">
        <v>30819</v>
      </c>
      <c r="C985" t="s">
        <v>19</v>
      </c>
      <c r="D985" t="s">
        <v>52</v>
      </c>
      <c r="E985" t="s">
        <v>79</v>
      </c>
      <c r="F985" t="s">
        <v>80</v>
      </c>
      <c r="G985" t="s">
        <v>98</v>
      </c>
      <c r="H985" t="s">
        <v>73</v>
      </c>
      <c r="I985" t="s">
        <v>47</v>
      </c>
      <c r="J985" t="s">
        <v>25</v>
      </c>
      <c r="K985" s="6">
        <f t="shared" si="31"/>
        <v>2.5</v>
      </c>
      <c r="L985" t="s">
        <v>64</v>
      </c>
      <c r="M985">
        <f t="shared" si="30"/>
        <v>7</v>
      </c>
      <c r="N985" t="s">
        <v>27</v>
      </c>
      <c r="O985" t="s">
        <v>72</v>
      </c>
      <c r="P985" s="2">
        <v>1128</v>
      </c>
      <c r="Q985" t="s">
        <v>74</v>
      </c>
      <c r="R985" t="s">
        <v>75</v>
      </c>
      <c r="S985" t="s">
        <v>31</v>
      </c>
      <c r="T985" t="s">
        <v>43</v>
      </c>
    </row>
    <row r="986" spans="1:20" x14ac:dyDescent="0.25">
      <c r="A986" s="2">
        <v>985</v>
      </c>
      <c r="B986" s="2">
        <v>80961</v>
      </c>
      <c r="C986" t="s">
        <v>60</v>
      </c>
      <c r="D986" t="s">
        <v>52</v>
      </c>
      <c r="E986" t="s">
        <v>76</v>
      </c>
      <c r="F986" t="s">
        <v>77</v>
      </c>
      <c r="G986" t="s">
        <v>70</v>
      </c>
      <c r="H986" t="s">
        <v>37</v>
      </c>
      <c r="I986" t="s">
        <v>38</v>
      </c>
      <c r="J986" t="s">
        <v>57</v>
      </c>
      <c r="K986" s="6">
        <f t="shared" si="31"/>
        <v>2</v>
      </c>
      <c r="L986" t="s">
        <v>26</v>
      </c>
      <c r="M986">
        <f t="shared" si="30"/>
        <v>1</v>
      </c>
      <c r="N986" t="s">
        <v>27</v>
      </c>
      <c r="O986" t="s">
        <v>103</v>
      </c>
      <c r="P986" s="2">
        <v>1739</v>
      </c>
      <c r="Q986" t="s">
        <v>41</v>
      </c>
      <c r="R986" t="s">
        <v>75</v>
      </c>
      <c r="S986" t="s">
        <v>69</v>
      </c>
      <c r="T986" t="s">
        <v>43</v>
      </c>
    </row>
    <row r="987" spans="1:20" x14ac:dyDescent="0.25">
      <c r="A987" s="2">
        <v>986</v>
      </c>
      <c r="B987" s="2">
        <v>13407</v>
      </c>
      <c r="C987" t="s">
        <v>51</v>
      </c>
      <c r="D987" t="s">
        <v>52</v>
      </c>
      <c r="E987" t="s">
        <v>34</v>
      </c>
      <c r="F987" t="s">
        <v>35</v>
      </c>
      <c r="G987" t="s">
        <v>98</v>
      </c>
      <c r="H987" t="s">
        <v>23</v>
      </c>
      <c r="I987" t="s">
        <v>38</v>
      </c>
      <c r="J987" t="s">
        <v>57</v>
      </c>
      <c r="K987" s="6">
        <f t="shared" si="31"/>
        <v>2</v>
      </c>
      <c r="L987" t="s">
        <v>64</v>
      </c>
      <c r="M987">
        <f t="shared" si="30"/>
        <v>7</v>
      </c>
      <c r="N987" t="s">
        <v>27</v>
      </c>
      <c r="O987" t="s">
        <v>103</v>
      </c>
      <c r="P987" s="2">
        <v>799</v>
      </c>
      <c r="Q987" t="s">
        <v>74</v>
      </c>
      <c r="R987" t="s">
        <v>75</v>
      </c>
      <c r="S987" t="s">
        <v>50</v>
      </c>
      <c r="T987" t="s">
        <v>43</v>
      </c>
    </row>
    <row r="988" spans="1:20" x14ac:dyDescent="0.25">
      <c r="A988" s="2">
        <v>987</v>
      </c>
      <c r="B988" s="2">
        <v>45563</v>
      </c>
      <c r="C988" t="s">
        <v>51</v>
      </c>
      <c r="D988" t="s">
        <v>52</v>
      </c>
      <c r="E988" t="s">
        <v>101</v>
      </c>
      <c r="F988" t="s">
        <v>80</v>
      </c>
      <c r="G988" t="s">
        <v>63</v>
      </c>
      <c r="H988" t="s">
        <v>46</v>
      </c>
      <c r="I988" t="s">
        <v>91</v>
      </c>
      <c r="J988" t="s">
        <v>86</v>
      </c>
      <c r="K988" s="6">
        <f t="shared" si="31"/>
        <v>0.55000000000000004</v>
      </c>
      <c r="L988" t="s">
        <v>49</v>
      </c>
      <c r="M988">
        <f t="shared" si="30"/>
        <v>3</v>
      </c>
      <c r="N988" t="s">
        <v>40</v>
      </c>
      <c r="O988" t="s">
        <v>28</v>
      </c>
      <c r="P988" s="2">
        <v>518</v>
      </c>
      <c r="Q988" t="s">
        <v>29</v>
      </c>
      <c r="R988" t="s">
        <v>68</v>
      </c>
      <c r="S988" t="s">
        <v>69</v>
      </c>
      <c r="T988" t="s">
        <v>32</v>
      </c>
    </row>
    <row r="989" spans="1:20" x14ac:dyDescent="0.25">
      <c r="A989" s="2">
        <v>988</v>
      </c>
      <c r="B989" s="2">
        <v>27195</v>
      </c>
      <c r="C989" t="s">
        <v>33</v>
      </c>
      <c r="D989" t="s">
        <v>66</v>
      </c>
      <c r="E989" t="s">
        <v>44</v>
      </c>
      <c r="F989" t="s">
        <v>44</v>
      </c>
      <c r="G989" t="s">
        <v>92</v>
      </c>
      <c r="H989" t="s">
        <v>73</v>
      </c>
      <c r="I989" t="s">
        <v>24</v>
      </c>
      <c r="J989" t="s">
        <v>57</v>
      </c>
      <c r="K989" s="6">
        <f t="shared" si="31"/>
        <v>0.6</v>
      </c>
      <c r="L989" t="s">
        <v>64</v>
      </c>
      <c r="M989">
        <f t="shared" si="30"/>
        <v>7</v>
      </c>
      <c r="N989" t="s">
        <v>40</v>
      </c>
      <c r="O989" t="s">
        <v>72</v>
      </c>
      <c r="P989" s="2">
        <v>1360</v>
      </c>
      <c r="Q989" t="s">
        <v>104</v>
      </c>
      <c r="R989" t="s">
        <v>68</v>
      </c>
      <c r="S989" t="s">
        <v>50</v>
      </c>
      <c r="T989" t="s">
        <v>43</v>
      </c>
    </row>
    <row r="990" spans="1:20" x14ac:dyDescent="0.25">
      <c r="A990" s="2">
        <v>989</v>
      </c>
      <c r="B990" s="2">
        <v>27606</v>
      </c>
      <c r="C990" t="s">
        <v>33</v>
      </c>
      <c r="D990" t="s">
        <v>52</v>
      </c>
      <c r="E990" t="s">
        <v>93</v>
      </c>
      <c r="F990" t="s">
        <v>62</v>
      </c>
      <c r="G990" t="s">
        <v>81</v>
      </c>
      <c r="H990" t="s">
        <v>23</v>
      </c>
      <c r="I990" t="s">
        <v>47</v>
      </c>
      <c r="J990" t="s">
        <v>48</v>
      </c>
      <c r="K990" s="6">
        <f t="shared" si="31"/>
        <v>2.5</v>
      </c>
      <c r="L990" t="s">
        <v>64</v>
      </c>
      <c r="M990">
        <f t="shared" si="30"/>
        <v>7</v>
      </c>
      <c r="N990" t="s">
        <v>104</v>
      </c>
      <c r="O990" t="s">
        <v>103</v>
      </c>
      <c r="P990" s="2">
        <v>545</v>
      </c>
      <c r="Q990" t="s">
        <v>104</v>
      </c>
      <c r="R990" t="s">
        <v>75</v>
      </c>
      <c r="S990" t="s">
        <v>31</v>
      </c>
      <c r="T990" t="s">
        <v>43</v>
      </c>
    </row>
    <row r="991" spans="1:20" x14ac:dyDescent="0.25">
      <c r="A991" s="2">
        <v>990</v>
      </c>
      <c r="B991" s="2">
        <v>93140</v>
      </c>
      <c r="C991" t="s">
        <v>60</v>
      </c>
      <c r="D991" t="s">
        <v>52</v>
      </c>
      <c r="E991" t="s">
        <v>76</v>
      </c>
      <c r="F991" t="s">
        <v>77</v>
      </c>
      <c r="G991" t="s">
        <v>36</v>
      </c>
      <c r="H991" t="s">
        <v>71</v>
      </c>
      <c r="I991" t="s">
        <v>38</v>
      </c>
      <c r="J991" t="s">
        <v>25</v>
      </c>
      <c r="K991" s="6">
        <f t="shared" si="31"/>
        <v>0.5</v>
      </c>
      <c r="L991" t="s">
        <v>64</v>
      </c>
      <c r="M991">
        <f t="shared" si="30"/>
        <v>7</v>
      </c>
      <c r="N991" t="s">
        <v>27</v>
      </c>
      <c r="O991" t="s">
        <v>72</v>
      </c>
      <c r="P991" s="2">
        <v>225</v>
      </c>
      <c r="Q991" t="s">
        <v>104</v>
      </c>
      <c r="R991" t="s">
        <v>68</v>
      </c>
      <c r="S991" t="s">
        <v>31</v>
      </c>
      <c r="T991" t="s">
        <v>43</v>
      </c>
    </row>
    <row r="992" spans="1:20" x14ac:dyDescent="0.25">
      <c r="A992" s="2">
        <v>991</v>
      </c>
      <c r="B992" s="2">
        <v>87694</v>
      </c>
      <c r="C992" t="s">
        <v>96</v>
      </c>
      <c r="D992" t="s">
        <v>66</v>
      </c>
      <c r="E992" t="s">
        <v>20</v>
      </c>
      <c r="F992" t="s">
        <v>21</v>
      </c>
      <c r="G992" t="s">
        <v>70</v>
      </c>
      <c r="H992" t="s">
        <v>23</v>
      </c>
      <c r="I992" t="s">
        <v>24</v>
      </c>
      <c r="J992" t="s">
        <v>25</v>
      </c>
      <c r="K992" s="6">
        <f t="shared" si="31"/>
        <v>2.4</v>
      </c>
      <c r="L992" t="s">
        <v>64</v>
      </c>
      <c r="M992">
        <f t="shared" si="30"/>
        <v>7</v>
      </c>
      <c r="N992" t="s">
        <v>40</v>
      </c>
      <c r="O992" t="s">
        <v>102</v>
      </c>
      <c r="P992" s="2">
        <v>886</v>
      </c>
      <c r="Q992" t="s">
        <v>41</v>
      </c>
      <c r="R992" t="s">
        <v>30</v>
      </c>
      <c r="S992" t="s">
        <v>50</v>
      </c>
      <c r="T992" t="s">
        <v>32</v>
      </c>
    </row>
    <row r="993" spans="1:20" x14ac:dyDescent="0.25">
      <c r="A993" s="2">
        <v>992</v>
      </c>
      <c r="B993" s="2">
        <v>61556</v>
      </c>
      <c r="C993" t="s">
        <v>51</v>
      </c>
      <c r="D993" t="s">
        <v>52</v>
      </c>
      <c r="E993" t="s">
        <v>97</v>
      </c>
      <c r="F993" t="s">
        <v>62</v>
      </c>
      <c r="G993" t="s">
        <v>81</v>
      </c>
      <c r="H993" t="s">
        <v>71</v>
      </c>
      <c r="I993" t="s">
        <v>67</v>
      </c>
      <c r="J993" t="s">
        <v>25</v>
      </c>
      <c r="K993" s="6">
        <f t="shared" si="31"/>
        <v>2.2000000000000002</v>
      </c>
      <c r="L993" t="s">
        <v>26</v>
      </c>
      <c r="M993">
        <f t="shared" si="30"/>
        <v>1</v>
      </c>
      <c r="N993" t="s">
        <v>40</v>
      </c>
      <c r="O993" t="s">
        <v>72</v>
      </c>
      <c r="P993" s="2">
        <v>213</v>
      </c>
      <c r="Q993" t="s">
        <v>74</v>
      </c>
      <c r="R993" t="s">
        <v>75</v>
      </c>
      <c r="S993" t="s">
        <v>31</v>
      </c>
      <c r="T993" t="s">
        <v>59</v>
      </c>
    </row>
    <row r="994" spans="1:20" x14ac:dyDescent="0.25">
      <c r="A994" s="2">
        <v>993</v>
      </c>
      <c r="B994" s="2">
        <v>87283</v>
      </c>
      <c r="C994" t="s">
        <v>51</v>
      </c>
      <c r="D994" t="s">
        <v>66</v>
      </c>
      <c r="E994" t="s">
        <v>20</v>
      </c>
      <c r="F994" t="s">
        <v>21</v>
      </c>
      <c r="G994" t="s">
        <v>63</v>
      </c>
      <c r="H994" t="s">
        <v>71</v>
      </c>
      <c r="I994" t="s">
        <v>24</v>
      </c>
      <c r="J994" t="s">
        <v>25</v>
      </c>
      <c r="K994" s="6">
        <f t="shared" si="31"/>
        <v>1.2</v>
      </c>
      <c r="L994" t="s">
        <v>64</v>
      </c>
      <c r="M994">
        <f t="shared" si="30"/>
        <v>7</v>
      </c>
      <c r="N994" t="s">
        <v>27</v>
      </c>
      <c r="O994" t="s">
        <v>102</v>
      </c>
      <c r="P994" s="2">
        <v>377</v>
      </c>
      <c r="Q994" t="s">
        <v>74</v>
      </c>
      <c r="R994" t="s">
        <v>42</v>
      </c>
      <c r="S994" t="s">
        <v>69</v>
      </c>
      <c r="T994" t="s">
        <v>32</v>
      </c>
    </row>
    <row r="995" spans="1:20" x14ac:dyDescent="0.25">
      <c r="A995" s="2">
        <v>994</v>
      </c>
      <c r="B995" s="2">
        <v>37323</v>
      </c>
      <c r="C995" t="s">
        <v>60</v>
      </c>
      <c r="D995" t="s">
        <v>52</v>
      </c>
      <c r="E995" t="s">
        <v>97</v>
      </c>
      <c r="F995" t="s">
        <v>62</v>
      </c>
      <c r="G995" t="s">
        <v>55</v>
      </c>
      <c r="H995" t="s">
        <v>46</v>
      </c>
      <c r="I995" t="s">
        <v>56</v>
      </c>
      <c r="J995" t="s">
        <v>86</v>
      </c>
      <c r="K995" s="6">
        <f t="shared" si="31"/>
        <v>1.1000000000000001</v>
      </c>
      <c r="L995" t="s">
        <v>49</v>
      </c>
      <c r="M995">
        <f t="shared" si="30"/>
        <v>3</v>
      </c>
      <c r="N995" t="s">
        <v>40</v>
      </c>
      <c r="O995" t="s">
        <v>103</v>
      </c>
      <c r="P995" s="2">
        <v>562</v>
      </c>
      <c r="Q995" t="s">
        <v>41</v>
      </c>
      <c r="R995" t="s">
        <v>42</v>
      </c>
      <c r="S995" t="s">
        <v>69</v>
      </c>
      <c r="T995" t="s">
        <v>59</v>
      </c>
    </row>
    <row r="996" spans="1:20" x14ac:dyDescent="0.25">
      <c r="A996" s="2">
        <v>995</v>
      </c>
      <c r="B996" s="2">
        <v>28065</v>
      </c>
      <c r="C996" t="s">
        <v>60</v>
      </c>
      <c r="D996" t="s">
        <v>66</v>
      </c>
      <c r="E996" t="s">
        <v>84</v>
      </c>
      <c r="F996" t="s">
        <v>85</v>
      </c>
      <c r="G996" t="s">
        <v>63</v>
      </c>
      <c r="H996" t="s">
        <v>23</v>
      </c>
      <c r="I996" t="s">
        <v>94</v>
      </c>
      <c r="J996" t="s">
        <v>57</v>
      </c>
      <c r="K996" s="6">
        <f t="shared" si="31"/>
        <v>1.5</v>
      </c>
      <c r="L996" t="s">
        <v>49</v>
      </c>
      <c r="M996">
        <f t="shared" si="30"/>
        <v>3</v>
      </c>
      <c r="N996" t="s">
        <v>27</v>
      </c>
      <c r="O996" t="s">
        <v>28</v>
      </c>
      <c r="P996" s="2">
        <v>656</v>
      </c>
      <c r="Q996" t="s">
        <v>104</v>
      </c>
      <c r="R996" t="s">
        <v>75</v>
      </c>
      <c r="S996" t="s">
        <v>69</v>
      </c>
      <c r="T996" t="s">
        <v>32</v>
      </c>
    </row>
    <row r="997" spans="1:20" x14ac:dyDescent="0.25">
      <c r="A997" s="2">
        <v>996</v>
      </c>
      <c r="B997" s="2">
        <v>27985</v>
      </c>
      <c r="C997" t="s">
        <v>33</v>
      </c>
      <c r="D997" t="s">
        <v>52</v>
      </c>
      <c r="E997" t="s">
        <v>89</v>
      </c>
      <c r="F997" t="s">
        <v>90</v>
      </c>
      <c r="G997" t="s">
        <v>22</v>
      </c>
      <c r="H997" t="s">
        <v>71</v>
      </c>
      <c r="I997" t="s">
        <v>24</v>
      </c>
      <c r="J997" t="s">
        <v>39</v>
      </c>
      <c r="K997" s="6">
        <f t="shared" si="31"/>
        <v>0.6</v>
      </c>
      <c r="L997" t="s">
        <v>64</v>
      </c>
      <c r="M997">
        <f t="shared" si="30"/>
        <v>7</v>
      </c>
      <c r="N997" t="s">
        <v>27</v>
      </c>
      <c r="O997" t="s">
        <v>28</v>
      </c>
      <c r="P997" s="2">
        <v>303</v>
      </c>
      <c r="Q997" t="s">
        <v>104</v>
      </c>
      <c r="R997" t="s">
        <v>68</v>
      </c>
      <c r="S997" t="s">
        <v>58</v>
      </c>
      <c r="T997" t="s">
        <v>59</v>
      </c>
    </row>
    <row r="998" spans="1:20" x14ac:dyDescent="0.25">
      <c r="A998" s="2">
        <v>997</v>
      </c>
      <c r="B998" s="2">
        <v>82980</v>
      </c>
      <c r="C998" t="s">
        <v>60</v>
      </c>
      <c r="D998" t="s">
        <v>66</v>
      </c>
      <c r="E998" t="s">
        <v>44</v>
      </c>
      <c r="F998" t="s">
        <v>44</v>
      </c>
      <c r="G998" t="s">
        <v>78</v>
      </c>
      <c r="H998" t="s">
        <v>46</v>
      </c>
      <c r="I998" t="s">
        <v>38</v>
      </c>
      <c r="J998" t="s">
        <v>57</v>
      </c>
      <c r="K998" s="6">
        <f t="shared" si="31"/>
        <v>1</v>
      </c>
      <c r="L998" t="s">
        <v>64</v>
      </c>
      <c r="M998">
        <f t="shared" si="30"/>
        <v>7</v>
      </c>
      <c r="N998" t="s">
        <v>40</v>
      </c>
      <c r="O998" t="s">
        <v>72</v>
      </c>
      <c r="P998" s="2">
        <v>277</v>
      </c>
      <c r="Q998" t="s">
        <v>29</v>
      </c>
      <c r="R998" t="s">
        <v>42</v>
      </c>
      <c r="S998" t="s">
        <v>58</v>
      </c>
      <c r="T998" t="s">
        <v>43</v>
      </c>
    </row>
    <row r="999" spans="1:20" x14ac:dyDescent="0.25">
      <c r="A999" s="2">
        <v>998</v>
      </c>
      <c r="B999" s="2">
        <v>20965</v>
      </c>
      <c r="C999" t="s">
        <v>33</v>
      </c>
      <c r="D999" t="s">
        <v>66</v>
      </c>
      <c r="E999" t="s">
        <v>34</v>
      </c>
      <c r="F999" t="s">
        <v>35</v>
      </c>
      <c r="G999" t="s">
        <v>22</v>
      </c>
      <c r="H999" t="s">
        <v>71</v>
      </c>
      <c r="I999" t="s">
        <v>94</v>
      </c>
      <c r="J999" t="s">
        <v>86</v>
      </c>
      <c r="K999" s="6">
        <f t="shared" si="31"/>
        <v>0.375</v>
      </c>
      <c r="L999" t="s">
        <v>64</v>
      </c>
      <c r="M999">
        <f t="shared" si="30"/>
        <v>7</v>
      </c>
      <c r="N999" t="s">
        <v>27</v>
      </c>
      <c r="O999" t="s">
        <v>103</v>
      </c>
      <c r="P999" s="2">
        <v>349</v>
      </c>
      <c r="Q999" t="s">
        <v>104</v>
      </c>
      <c r="R999" t="s">
        <v>68</v>
      </c>
      <c r="S999" t="s">
        <v>58</v>
      </c>
      <c r="T999" t="s">
        <v>43</v>
      </c>
    </row>
    <row r="1000" spans="1:20" x14ac:dyDescent="0.25">
      <c r="A1000" s="2">
        <v>999</v>
      </c>
      <c r="B1000" s="2">
        <v>92571</v>
      </c>
      <c r="C1000" t="s">
        <v>51</v>
      </c>
      <c r="D1000" t="s">
        <v>52</v>
      </c>
      <c r="E1000" t="s">
        <v>101</v>
      </c>
      <c r="F1000" t="s">
        <v>80</v>
      </c>
      <c r="G1000" t="s">
        <v>55</v>
      </c>
      <c r="H1000" t="s">
        <v>23</v>
      </c>
      <c r="I1000" t="s">
        <v>83</v>
      </c>
      <c r="J1000" t="s">
        <v>57</v>
      </c>
      <c r="K1000" s="6">
        <f t="shared" si="31"/>
        <v>2.2000000000000002</v>
      </c>
      <c r="L1000" t="s">
        <v>26</v>
      </c>
      <c r="M1000">
        <f t="shared" si="30"/>
        <v>1</v>
      </c>
      <c r="N1000" t="s">
        <v>27</v>
      </c>
      <c r="O1000" t="s">
        <v>102</v>
      </c>
      <c r="P1000" s="2">
        <v>674</v>
      </c>
      <c r="Q1000" t="s">
        <v>74</v>
      </c>
      <c r="R1000" t="s">
        <v>75</v>
      </c>
      <c r="S1000" t="s">
        <v>69</v>
      </c>
      <c r="T1000" t="s">
        <v>32</v>
      </c>
    </row>
    <row r="1001" spans="1:20" x14ac:dyDescent="0.25">
      <c r="A1001" s="2">
        <v>1000</v>
      </c>
      <c r="B1001" s="2">
        <v>59137</v>
      </c>
      <c r="C1001" t="s">
        <v>60</v>
      </c>
      <c r="D1001" t="s">
        <v>52</v>
      </c>
      <c r="E1001" t="s">
        <v>79</v>
      </c>
      <c r="F1001" t="s">
        <v>80</v>
      </c>
      <c r="G1001" t="s">
        <v>92</v>
      </c>
      <c r="H1001" t="s">
        <v>37</v>
      </c>
      <c r="I1001" t="s">
        <v>91</v>
      </c>
      <c r="J1001" t="s">
        <v>86</v>
      </c>
      <c r="K1001" s="6">
        <f t="shared" si="31"/>
        <v>0.55000000000000004</v>
      </c>
      <c r="L1001" t="s">
        <v>64</v>
      </c>
      <c r="M1001">
        <f t="shared" si="30"/>
        <v>7</v>
      </c>
      <c r="N1001" t="s">
        <v>27</v>
      </c>
      <c r="O1001" t="s">
        <v>82</v>
      </c>
      <c r="P1001" s="2">
        <v>1418</v>
      </c>
      <c r="Q1001" t="s">
        <v>29</v>
      </c>
      <c r="R1001" t="s">
        <v>68</v>
      </c>
      <c r="S1001" t="s">
        <v>31</v>
      </c>
      <c r="T1001" t="s">
        <v>43</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Pivot_tables.xlsx</vt:lpstr>
      <vt:lpstr>Dashboard</vt:lpstr>
      <vt:lpstr>Coffee Consumption Dashboard.xl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2026-02-16T12:39:19Z</dcterms:created>
  <dcterms:modified xsi:type="dcterms:W3CDTF">2026-02-20T17:57:29Z</dcterms:modified>
</cp:coreProperties>
</file>